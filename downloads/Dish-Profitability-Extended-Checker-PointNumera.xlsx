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oding Projects\Github\point-numera-tools\downloads\"/>
    </mc:Choice>
  </mc:AlternateContent>
  <xr:revisionPtr revIDLastSave="0" documentId="8_{F76C7830-EFCC-4BF2-B213-7EB08E91996D}" xr6:coauthVersionLast="47" xr6:coauthVersionMax="47" xr10:uidLastSave="{00000000-0000-0000-0000-000000000000}"/>
  <bookViews>
    <workbookView xWindow="-120" yWindow="-120" windowWidth="38640" windowHeight="21120" xr2:uid="{2A864C33-D34F-4E51-9C26-DDA8331FB0E9}"/>
  </bookViews>
  <sheets>
    <sheet name="Dashboard" sheetId="2" r:id="rId1"/>
    <sheet name="Dish Input" sheetId="3" r:id="rId2"/>
    <sheet name="Notes" sheetId="4" r:id="rId3"/>
  </sheets>
  <definedNames>
    <definedName name="Currency">'Dish Input'!$F$3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4" i="3" l="1"/>
  <c r="J31" i="3" l="1"/>
  <c r="J116" i="3"/>
  <c r="H116" i="3"/>
  <c r="J90" i="3"/>
  <c r="H90" i="3"/>
  <c r="J64" i="3"/>
  <c r="H64" i="3"/>
  <c r="J38" i="3"/>
  <c r="H38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J91" i="3"/>
  <c r="J92" i="3"/>
  <c r="J93" i="3"/>
  <c r="J95" i="3"/>
  <c r="J96" i="3"/>
  <c r="J97" i="3"/>
  <c r="J98" i="3"/>
  <c r="J99" i="3"/>
  <c r="J100" i="3"/>
  <c r="J101" i="3"/>
  <c r="J102" i="3"/>
  <c r="I91" i="3"/>
  <c r="I92" i="3"/>
  <c r="I93" i="3"/>
  <c r="I94" i="3"/>
  <c r="I95" i="3"/>
  <c r="I96" i="3"/>
  <c r="I97" i="3"/>
  <c r="I98" i="3"/>
  <c r="I99" i="3"/>
  <c r="I100" i="3"/>
  <c r="I101" i="3"/>
  <c r="I102" i="3"/>
  <c r="J65" i="3"/>
  <c r="J66" i="3"/>
  <c r="J67" i="3"/>
  <c r="J68" i="3"/>
  <c r="J69" i="3"/>
  <c r="J70" i="3"/>
  <c r="J71" i="3"/>
  <c r="J72" i="3"/>
  <c r="J73" i="3"/>
  <c r="J74" i="3"/>
  <c r="J75" i="3"/>
  <c r="J76" i="3"/>
  <c r="I65" i="3"/>
  <c r="I66" i="3"/>
  <c r="I67" i="3"/>
  <c r="I68" i="3"/>
  <c r="I69" i="3"/>
  <c r="I70" i="3"/>
  <c r="I71" i="3"/>
  <c r="I72" i="3"/>
  <c r="I73" i="3"/>
  <c r="I74" i="3"/>
  <c r="I75" i="3"/>
  <c r="I76" i="3"/>
  <c r="J39" i="3"/>
  <c r="J40" i="3"/>
  <c r="J41" i="3"/>
  <c r="J42" i="3"/>
  <c r="J43" i="3"/>
  <c r="J44" i="3"/>
  <c r="J45" i="3"/>
  <c r="J46" i="3"/>
  <c r="J47" i="3"/>
  <c r="J48" i="3"/>
  <c r="J49" i="3"/>
  <c r="J50" i="3"/>
  <c r="I39" i="3"/>
  <c r="I40" i="3"/>
  <c r="I41" i="3"/>
  <c r="I42" i="3"/>
  <c r="I43" i="3"/>
  <c r="I44" i="3"/>
  <c r="I45" i="3"/>
  <c r="I46" i="3"/>
  <c r="I47" i="3"/>
  <c r="I48" i="3"/>
  <c r="I49" i="3"/>
  <c r="I50" i="3"/>
  <c r="J14" i="3"/>
  <c r="J15" i="3"/>
  <c r="J16" i="3"/>
  <c r="J17" i="3"/>
  <c r="J18" i="3"/>
  <c r="J19" i="3"/>
  <c r="J20" i="3"/>
  <c r="J21" i="3"/>
  <c r="J22" i="3"/>
  <c r="J23" i="3"/>
  <c r="J24" i="3"/>
  <c r="J13" i="3"/>
  <c r="I21" i="3"/>
  <c r="G25" i="2"/>
  <c r="I24" i="3"/>
  <c r="I23" i="3"/>
  <c r="I22" i="3"/>
  <c r="I20" i="3"/>
  <c r="I19" i="3"/>
  <c r="I18" i="3"/>
  <c r="I17" i="3"/>
  <c r="I16" i="3"/>
  <c r="I15" i="3"/>
  <c r="I14" i="3"/>
  <c r="I13" i="3"/>
  <c r="H12" i="3"/>
  <c r="H10" i="2"/>
  <c r="F10" i="2"/>
  <c r="J12" i="3"/>
  <c r="E15" i="2"/>
  <c r="E14" i="2"/>
  <c r="E13" i="2"/>
  <c r="E12" i="2"/>
  <c r="E11" i="2"/>
  <c r="J135" i="3"/>
  <c r="F114" i="3"/>
  <c r="F15" i="2" s="1"/>
  <c r="J15" i="2" s="1"/>
  <c r="J109" i="3"/>
  <c r="F88" i="3"/>
  <c r="F14" i="2" s="1"/>
  <c r="J14" i="2" s="1"/>
  <c r="J83" i="3"/>
  <c r="F62" i="3"/>
  <c r="F13" i="2" s="1"/>
  <c r="J13" i="2" s="1"/>
  <c r="J57" i="3"/>
  <c r="F36" i="3"/>
  <c r="F12" i="2" s="1"/>
  <c r="F10" i="3"/>
  <c r="F11" i="2" s="1"/>
  <c r="J30" i="3" l="1"/>
  <c r="J52" i="3"/>
  <c r="J82" i="3"/>
  <c r="J108" i="3"/>
  <c r="J134" i="3"/>
  <c r="J26" i="3"/>
  <c r="J28" i="3" s="1"/>
  <c r="J56" i="3"/>
  <c r="J78" i="3"/>
  <c r="J80" i="3" s="1"/>
  <c r="J81" i="3" s="1"/>
  <c r="J130" i="3"/>
  <c r="J132" i="3" s="1"/>
  <c r="J133" i="3" s="1"/>
  <c r="J53" i="3"/>
  <c r="G12" i="2" s="1"/>
  <c r="J12" i="2" s="1"/>
  <c r="J54" i="3"/>
  <c r="J55" i="3" s="1"/>
  <c r="J104" i="3"/>
  <c r="G24" i="2"/>
  <c r="J131" i="3" l="1"/>
  <c r="G15" i="2" s="1"/>
  <c r="E37" i="2"/>
  <c r="E26" i="2"/>
  <c r="E27" i="2"/>
  <c r="E28" i="2"/>
  <c r="E29" i="2"/>
  <c r="E30" i="2"/>
  <c r="E31" i="2"/>
  <c r="E32" i="2"/>
  <c r="E33" i="2"/>
  <c r="E34" i="2"/>
  <c r="E35" i="2"/>
  <c r="E36" i="2"/>
  <c r="J79" i="3"/>
  <c r="G13" i="2" s="1"/>
  <c r="J27" i="3"/>
  <c r="J29" i="3"/>
  <c r="I11" i="2" s="1"/>
  <c r="G38" i="2"/>
  <c r="F38" i="2"/>
  <c r="J106" i="3"/>
  <c r="J107" i="3" s="1"/>
  <c r="I14" i="2" s="1"/>
  <c r="J105" i="3"/>
  <c r="G14" i="2" s="1"/>
  <c r="H15" i="2"/>
  <c r="G11" i="2"/>
  <c r="I15" i="2"/>
  <c r="I12" i="2"/>
  <c r="I13" i="2"/>
  <c r="H13" i="2"/>
  <c r="H12" i="2"/>
  <c r="H11" i="2"/>
  <c r="G33" i="2" l="1"/>
  <c r="F33" i="2"/>
  <c r="G34" i="2"/>
  <c r="F34" i="2"/>
  <c r="G28" i="2"/>
  <c r="F28" i="2"/>
  <c r="G32" i="2"/>
  <c r="F32" i="2"/>
  <c r="G35" i="2"/>
  <c r="F35" i="2"/>
  <c r="G29" i="2"/>
  <c r="F29" i="2"/>
  <c r="F26" i="2"/>
  <c r="G26" i="2"/>
  <c r="G36" i="2"/>
  <c r="F36" i="2"/>
  <c r="G31" i="2"/>
  <c r="F31" i="2"/>
  <c r="G30" i="2"/>
  <c r="F30" i="2"/>
  <c r="G27" i="2"/>
  <c r="F27" i="2"/>
  <c r="H14" i="2"/>
  <c r="G37" i="2"/>
  <c r="F37" i="2"/>
  <c r="G17" i="2"/>
  <c r="E21" i="2" s="1"/>
  <c r="J11" i="2"/>
  <c r="I17" i="2"/>
  <c r="F21" i="2" s="1"/>
</calcChain>
</file>

<file path=xl/sharedStrings.xml><?xml version="1.0" encoding="utf-8"?>
<sst xmlns="http://schemas.openxmlformats.org/spreadsheetml/2006/main" count="175" uniqueCount="91">
  <si>
    <t>DISH INPUT</t>
  </si>
  <si>
    <t>Dish Profitability Tracker</t>
  </si>
  <si>
    <t>📊  Dashboard</t>
  </si>
  <si>
    <t>🍽️  Dish Input</t>
  </si>
  <si>
    <t>📝  Notes</t>
  </si>
  <si>
    <t>DISH 1</t>
  </si>
  <si>
    <t>Dish Name</t>
  </si>
  <si>
    <t>Selling Price (incl. VAT)</t>
  </si>
  <si>
    <t>VAT Rate %</t>
  </si>
  <si>
    <t>Price excl. VAT</t>
  </si>
  <si>
    <t>Ingredient</t>
  </si>
  <si>
    <t>Qty</t>
  </si>
  <si>
    <t>Unit</t>
  </si>
  <si>
    <t>Total Ingredient Cost</t>
  </si>
  <si>
    <t>Food Cost %</t>
  </si>
  <si>
    <t>Gross Margin</t>
  </si>
  <si>
    <t>Gross Margin %</t>
  </si>
  <si>
    <t>Biggest Cost Driver</t>
  </si>
  <si>
    <t>Target Food Cost %</t>
  </si>
  <si>
    <t>DISH 2</t>
  </si>
  <si>
    <t>DISH 3</t>
  </si>
  <si>
    <t>Dish 3</t>
  </si>
  <si>
    <t>DISH 4</t>
  </si>
  <si>
    <t>Dish 4</t>
  </si>
  <si>
    <t>DISH 5</t>
  </si>
  <si>
    <t>Dish 5</t>
  </si>
  <si>
    <t>DISH PROFITABILITY TRACKER</t>
  </si>
  <si>
    <t>TARGET FOOD COST %</t>
  </si>
  <si>
    <t>DISH SUMMARY</t>
  </si>
  <si>
    <t>Status</t>
  </si>
  <si>
    <t>AVERAGES</t>
  </si>
  <si>
    <t>Avg Food Cost %:</t>
  </si>
  <si>
    <t>Avg Gross Margin %:</t>
  </si>
  <si>
    <t>COST vs MARGIN BREAKDOWN</t>
  </si>
  <si>
    <t>Avg Food Cost %</t>
  </si>
  <si>
    <t>Avg Gross Margin %</t>
  </si>
  <si>
    <t>Component</t>
  </si>
  <si>
    <t>% of Selling Price</t>
  </si>
  <si>
    <t>NOTES</t>
  </si>
  <si>
    <t>Reference guide and contact information</t>
  </si>
  <si>
    <t>WHAT IS FOOD COST %?</t>
  </si>
  <si>
    <t>Food Cost % measures the proportion of a dish's selling price (excl. VAT) that goes toward ingredient costs.</t>
  </si>
  <si>
    <t>A lower food cost % means higher profitability per dish. Industry benchmarks typically range from 25% to 35%.</t>
  </si>
  <si>
    <t>HOW TO USE THIS TRACKER</t>
  </si>
  <si>
    <t>1.  Set your Target Food Cost % on the Dashboard sheet (default: 30%).</t>
  </si>
  <si>
    <t>2.  Go to the Dish Input sheet and enter your dish name and selling price (incl. VAT) for each dish.</t>
  </si>
  <si>
    <t>3.  Enter each ingredient: name, quantity, unit (g / ml / pcs), and cost per unit.</t>
  </si>
  <si>
    <t>5.  Return to the Dashboard to see all dishes compared side-by-side with status indicators.</t>
  </si>
  <si>
    <t>6.  Green = on target, Amber = within 5 percentage points above target, Red = more than 5pp above target.</t>
  </si>
  <si>
    <t>7.  The donut chart shows the average food cost % vs gross margin % across all active dishes.</t>
  </si>
  <si>
    <t>8.  The pie chart shows the ingredient-level breakdown of Dish 1 as a proportion of the selling price.</t>
  </si>
  <si>
    <t>IMPORTANT</t>
  </si>
  <si>
    <t>This tracker covers ingredient costs only. Labour, rent, and overhead apply at the business level.</t>
  </si>
  <si>
    <t>CONTACT</t>
  </si>
  <si>
    <t>Point Numera</t>
  </si>
  <si>
    <t>info@pointnumera.com</t>
  </si>
  <si>
    <t>pointnumera.com</t>
  </si>
  <si>
    <t>Grilled Salmon Bowl</t>
  </si>
  <si>
    <t>Salmon fillet</t>
  </si>
  <si>
    <t>g</t>
  </si>
  <si>
    <t>Basmati rice</t>
  </si>
  <si>
    <t>Avocado</t>
  </si>
  <si>
    <t>Edamame</t>
  </si>
  <si>
    <t>Sesame dressing</t>
  </si>
  <si>
    <t>ml</t>
  </si>
  <si>
    <t>Spring onion</t>
  </si>
  <si>
    <t>Sesame seeds</t>
  </si>
  <si>
    <t>Lime wedge</t>
  </si>
  <si>
    <t>pcs</t>
  </si>
  <si>
    <t>Margherita Pizza</t>
  </si>
  <si>
    <t>Pizza dough</t>
  </si>
  <si>
    <t>Mozzarella</t>
  </si>
  <si>
    <t>Tomato sauce</t>
  </si>
  <si>
    <t>Fresh basil</t>
  </si>
  <si>
    <t>Olive oil</t>
  </si>
  <si>
    <t>Parmesan</t>
  </si>
  <si>
    <t>PRICE COMPOSITION</t>
  </si>
  <si>
    <t>Select Dish:</t>
  </si>
  <si>
    <t>Soy sauce</t>
  </si>
  <si>
    <t>Pickled ginger</t>
  </si>
  <si>
    <t>Sea salt</t>
  </si>
  <si>
    <t>Formula:  Food Cost %  =  Total Ingredient Cost  ÷  Dish Price excl. VAT</t>
  </si>
  <si>
    <t>4.  All calculations are automatic, food cost %, gross margin, and the biggest cost driver update instantly.</t>
  </si>
  <si>
    <t>Book a Clarity Call</t>
  </si>
  <si>
    <t>Currency:</t>
  </si>
  <si>
    <t>Bulk Unit</t>
  </si>
  <si>
    <t>CHF</t>
  </si>
  <si>
    <t>Enter dish details and ingredients. Blue values are editable</t>
  </si>
  <si>
    <t>L</t>
  </si>
  <si>
    <t xml:space="preserve">Ingredient costs shift, this tracker shows you which dishes are profitable and which are at risk. </t>
  </si>
  <si>
    <t>Set your target food cost % below, then go to Dish Input to add your menu items.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</si>
</sst>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%"/>
    <numFmt numFmtId="167" formatCode="#,##0.0000"/>
  </numFmts>
  <fonts count="39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u/>
      <sz val="11"/>
      <color theme="10"/>
      <name val="Aptos Narrow"/>
      <family val="2"/>
      <scheme val="minor"/>
    </font>
    <font>
      <sz val="10"/>
      <color rgb="FF0E4F47"/>
      <name val="Calibri"/>
    </font>
    <font>
      <b/>
      <sz val="14"/>
      <color rgb="FF0E4F47"/>
      <name val="Calibri"/>
    </font>
    <font>
      <sz val="10"/>
      <color rgb="FF7F8C8D"/>
      <name val="Calibri"/>
    </font>
    <font>
      <b/>
      <sz val="11"/>
      <color rgb="FFF4ECBD"/>
      <name val="Aptos Narrow"/>
      <family val="2"/>
      <scheme val="minor"/>
    </font>
    <font>
      <sz val="11"/>
      <color rgb="FF0E4F47"/>
      <name val="Aptos Narrow"/>
      <family val="2"/>
      <scheme val="minor"/>
    </font>
    <font>
      <b/>
      <sz val="11"/>
      <color rgb="FF0E4F47"/>
      <name val="Aptos Narrow"/>
      <family val="2"/>
      <scheme val="minor"/>
    </font>
    <font>
      <b/>
      <sz val="10"/>
      <color rgb="FFF4ECBD"/>
      <name val="Calibri"/>
    </font>
    <font>
      <b/>
      <sz val="10"/>
      <color rgb="FFF0EDE4"/>
      <name val="Calibri"/>
    </font>
    <font>
      <b/>
      <sz val="11"/>
      <color rgb="FFF4ECBD"/>
      <name val="Calibri"/>
    </font>
    <font>
      <i/>
      <sz val="10"/>
      <color rgb="FF0E4F47"/>
      <name val="Calibri"/>
    </font>
    <font>
      <b/>
      <sz val="11"/>
      <color rgb="FF0E4F47"/>
      <name val="Calibri"/>
    </font>
    <font>
      <b/>
      <sz val="13"/>
      <color rgb="FFF4ECBD"/>
      <name val="Calibri"/>
    </font>
    <font>
      <sz val="9"/>
      <color rgb="FFA4D6A4"/>
      <name val="Calibri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A0F0E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8000"/>
      <name val="Aptos Narrow"/>
      <family val="2"/>
      <scheme val="minor"/>
    </font>
    <font>
      <b/>
      <sz val="9"/>
      <color rgb="FF0E4F47"/>
      <name val="Aptos Narrow"/>
      <family val="2"/>
      <scheme val="minor"/>
    </font>
    <font>
      <sz val="1"/>
      <color rgb="FFFFFFFF"/>
      <name val="Aptos Narrow"/>
      <family val="2"/>
      <scheme val="minor"/>
    </font>
    <font>
      <sz val="9"/>
      <color rgb="FF0E4F47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6"/>
      <color rgb="FF0000FF"/>
      <name val="Calibri"/>
      <family val="2"/>
    </font>
    <font>
      <sz val="12"/>
      <color rgb="FF0E4F47"/>
      <name val="Calibri"/>
      <family val="2"/>
    </font>
    <font>
      <b/>
      <sz val="12"/>
      <color rgb="FFF4ECBD"/>
      <name val="Calibri"/>
      <family val="2"/>
    </font>
    <font>
      <i/>
      <sz val="10"/>
      <color rgb="FF0E4F47"/>
      <name val="Calibri"/>
      <family val="2"/>
    </font>
    <font>
      <sz val="10"/>
      <color rgb="FF0E4F47"/>
      <name val="Calibri"/>
      <family val="2"/>
    </font>
    <font>
      <u/>
      <sz val="14"/>
      <color theme="3" tint="0.249977111117893"/>
      <name val="Aptos Narrow"/>
      <family val="2"/>
      <scheme val="minor"/>
    </font>
    <font>
      <sz val="9"/>
      <color rgb="FF7F8C8D"/>
      <name val="Aptos Narrow"/>
      <family val="2"/>
    </font>
    <font>
      <b/>
      <sz val="13"/>
      <color rgb="FF0E4F47"/>
      <name val="Calibri"/>
      <family val="2"/>
    </font>
    <font>
      <sz val="13"/>
      <color rgb="FFFFFFFF"/>
      <name val="Calibri"/>
      <family val="2"/>
    </font>
    <font>
      <b/>
      <sz val="12"/>
      <color rgb="FF0E4F47"/>
      <name val="Calibri"/>
      <family val="2"/>
    </font>
    <font>
      <sz val="9"/>
      <color rgb="FF7F8C8D"/>
      <name val="Aptos Narrow"/>
      <family val="2"/>
      <scheme val="minor"/>
    </font>
    <font>
      <sz val="1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E4F47"/>
        <bgColor indexed="64"/>
      </patternFill>
    </fill>
    <fill>
      <patternFill patternType="solid">
        <fgColor rgb="FFF4EC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A4D6A4"/>
        <bgColor indexed="64"/>
      </patternFill>
    </fill>
  </fills>
  <borders count="24">
    <border>
      <left/>
      <right/>
      <top/>
      <bottom/>
      <diagonal/>
    </border>
    <border>
      <left style="thin">
        <color rgb="FF1E2E2B"/>
      </left>
      <right style="thin">
        <color rgb="FF1E2E2B"/>
      </right>
      <top style="thin">
        <color rgb="FF1E2E2B"/>
      </top>
      <bottom style="thin">
        <color rgb="FF1E2E2B"/>
      </bottom>
      <diagonal/>
    </border>
    <border>
      <left style="thin">
        <color rgb="FF1E2E2B"/>
      </left>
      <right style="thin">
        <color rgb="FFD0D0D0"/>
      </right>
      <top style="thin">
        <color rgb="FF1E2E2B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E2B"/>
      </top>
      <bottom style="thin">
        <color rgb="FFD0D0D0"/>
      </bottom>
      <diagonal/>
    </border>
    <border>
      <left style="thin">
        <color rgb="FFD0D0D0"/>
      </left>
      <right style="thin">
        <color rgb="FF1E2E2B"/>
      </right>
      <top style="thin">
        <color rgb="FF1E2E2B"/>
      </top>
      <bottom style="thin">
        <color rgb="FFD0D0D0"/>
      </bottom>
      <diagonal/>
    </border>
    <border>
      <left style="thin">
        <color rgb="FF1E2E2B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1E2E2B"/>
      </right>
      <top style="thin">
        <color rgb="FFD0D0D0"/>
      </top>
      <bottom style="thin">
        <color rgb="FFD0D0D0"/>
      </bottom>
      <diagonal/>
    </border>
    <border>
      <left style="thin">
        <color rgb="FF1E2E2B"/>
      </left>
      <right style="thin">
        <color rgb="FFD0D0D0"/>
      </right>
      <top style="thin">
        <color rgb="FFD0D0D0"/>
      </top>
      <bottom style="thin">
        <color rgb="FF1E2E2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1E2E2B"/>
      </bottom>
      <diagonal/>
    </border>
    <border>
      <left style="thin">
        <color rgb="FFD0D0D0"/>
      </left>
      <right style="thin">
        <color rgb="FF1E2E2B"/>
      </right>
      <top style="thin">
        <color rgb="FFD0D0D0"/>
      </top>
      <bottom style="thin">
        <color rgb="FF1E2E2B"/>
      </bottom>
      <diagonal/>
    </border>
    <border>
      <left/>
      <right/>
      <top/>
      <bottom style="thin">
        <color rgb="FF1E2E2B"/>
      </bottom>
      <diagonal/>
    </border>
    <border>
      <left/>
      <right/>
      <top style="thin">
        <color rgb="FF1E2E2B"/>
      </top>
      <bottom/>
      <diagonal/>
    </border>
    <border>
      <left style="thin">
        <color rgb="FF1E2E2B"/>
      </left>
      <right/>
      <top style="thin">
        <color rgb="FF1E2E2B"/>
      </top>
      <bottom/>
      <diagonal/>
    </border>
    <border>
      <left style="thin">
        <color rgb="FF1E2E2B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rgb="FF1E2E2B"/>
      </top>
      <bottom style="double">
        <color indexed="64"/>
      </bottom>
      <diagonal/>
    </border>
    <border>
      <left style="thin">
        <color rgb="FFD0D0D0"/>
      </left>
      <right/>
      <top style="thin">
        <color rgb="FF1E2E2B"/>
      </top>
      <bottom/>
      <diagonal/>
    </border>
    <border>
      <left style="thin">
        <color rgb="FFD0D0D0"/>
      </left>
      <right style="thin">
        <color rgb="FF1E2E2B"/>
      </right>
      <top style="thin">
        <color rgb="FF1E2E2B"/>
      </top>
      <bottom/>
      <diagonal/>
    </border>
    <border>
      <left style="thin">
        <color rgb="FFD0D0D0"/>
      </left>
      <right/>
      <top style="thin">
        <color rgb="FFD0D0D0"/>
      </top>
      <bottom/>
      <diagonal/>
    </border>
    <border>
      <left style="thin">
        <color rgb="FFD0D0D0"/>
      </left>
      <right style="thin">
        <color rgb="FF1E2E2B"/>
      </right>
      <top style="thin">
        <color rgb="FFD0D0D0"/>
      </top>
      <bottom/>
      <diagonal/>
    </border>
    <border>
      <left style="thin">
        <color rgb="FFD0D0D0"/>
      </left>
      <right/>
      <top style="thin">
        <color rgb="FFD0D0D0"/>
      </top>
      <bottom style="thin">
        <color rgb="FF1E2E2B"/>
      </bottom>
      <diagonal/>
    </border>
    <border>
      <left style="thin">
        <color rgb="FF1E2E2B"/>
      </left>
      <right/>
      <top style="thin">
        <color rgb="FFD0D0D0"/>
      </top>
      <bottom/>
      <diagonal/>
    </border>
    <border>
      <left style="thin">
        <color rgb="FF1E2E2B"/>
      </left>
      <right/>
      <top style="thin">
        <color rgb="FFD0D0D0"/>
      </top>
      <bottom style="thin">
        <color rgb="FF1E2E2B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0">
    <xf numFmtId="0" fontId="0" fillId="0" borderId="0" xfId="0"/>
    <xf numFmtId="10" fontId="27" fillId="4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Protection="1"/>
    <xf numFmtId="0" fontId="14" fillId="2" borderId="0" xfId="0" applyFont="1" applyFill="1" applyAlignment="1" applyProtection="1">
      <alignment vertical="center"/>
    </xf>
    <xf numFmtId="0" fontId="1" fillId="3" borderId="0" xfId="0" applyFont="1" applyFill="1" applyProtection="1"/>
    <xf numFmtId="0" fontId="1" fillId="0" borderId="0" xfId="0" applyFont="1" applyProtection="1"/>
    <xf numFmtId="0" fontId="4" fillId="0" borderId="0" xfId="0" applyFont="1" applyProtection="1"/>
    <xf numFmtId="0" fontId="0" fillId="0" borderId="0" xfId="0" applyProtection="1"/>
    <xf numFmtId="0" fontId="15" fillId="2" borderId="0" xfId="0" applyFont="1" applyFill="1" applyAlignment="1" applyProtection="1">
      <alignment vertical="center"/>
    </xf>
    <xf numFmtId="0" fontId="38" fillId="0" borderId="0" xfId="0" applyFont="1" applyProtection="1"/>
    <xf numFmtId="0" fontId="35" fillId="2" borderId="0" xfId="1" applyFont="1" applyFill="1" applyAlignment="1" applyProtection="1">
      <alignment vertical="center"/>
    </xf>
    <xf numFmtId="0" fontId="36" fillId="4" borderId="0" xfId="0" applyFont="1" applyFill="1" applyProtection="1"/>
    <xf numFmtId="0" fontId="34" fillId="3" borderId="0" xfId="1" quotePrefix="1" applyFont="1" applyFill="1" applyAlignment="1" applyProtection="1">
      <alignment vertical="center"/>
    </xf>
    <xf numFmtId="0" fontId="27" fillId="4" borderId="0" xfId="0" applyFont="1" applyFill="1" applyBorder="1" applyAlignment="1" applyProtection="1">
      <alignment horizontal="center"/>
    </xf>
    <xf numFmtId="0" fontId="6" fillId="2" borderId="0" xfId="0" applyFont="1" applyFill="1" applyAlignment="1" applyProtection="1">
      <alignment vertical="center"/>
    </xf>
    <xf numFmtId="0" fontId="7" fillId="0" borderId="0" xfId="0" applyFont="1" applyFill="1" applyProtection="1"/>
    <xf numFmtId="0" fontId="17" fillId="0" borderId="0" xfId="0" applyFont="1" applyFill="1" applyBorder="1" applyProtection="1"/>
    <xf numFmtId="0" fontId="0" fillId="0" borderId="0" xfId="0" applyFill="1" applyProtection="1"/>
    <xf numFmtId="0" fontId="7" fillId="0" borderId="15" xfId="0" applyFont="1" applyFill="1" applyBorder="1" applyProtection="1"/>
    <xf numFmtId="0" fontId="0" fillId="0" borderId="0" xfId="0" applyFont="1" applyFill="1" applyProtection="1"/>
    <xf numFmtId="4" fontId="18" fillId="0" borderId="0" xfId="0" applyNumberFormat="1" applyFont="1" applyFill="1" applyProtection="1"/>
    <xf numFmtId="0" fontId="19" fillId="7" borderId="13" xfId="0" applyFont="1" applyFill="1" applyBorder="1" applyProtection="1"/>
    <xf numFmtId="0" fontId="19" fillId="7" borderId="17" xfId="0" applyFont="1" applyFill="1" applyBorder="1" applyProtection="1"/>
    <xf numFmtId="0" fontId="19" fillId="7" borderId="18" xfId="0" applyFont="1" applyFill="1" applyBorder="1" applyProtection="1"/>
    <xf numFmtId="0" fontId="33" fillId="4" borderId="19" xfId="0" applyFont="1" applyFill="1" applyBorder="1" applyProtection="1"/>
    <xf numFmtId="4" fontId="18" fillId="6" borderId="20" xfId="0" applyNumberFormat="1" applyFont="1" applyFill="1" applyBorder="1" applyProtection="1"/>
    <xf numFmtId="0" fontId="33" fillId="4" borderId="21" xfId="0" applyFont="1" applyFill="1" applyBorder="1" applyProtection="1"/>
    <xf numFmtId="4" fontId="18" fillId="6" borderId="10" xfId="0" applyNumberFormat="1" applyFont="1" applyFill="1" applyBorder="1" applyProtection="1"/>
    <xf numFmtId="0" fontId="16" fillId="4" borderId="0" xfId="0" applyFont="1" applyFill="1" applyBorder="1" applyProtection="1"/>
    <xf numFmtId="4" fontId="16" fillId="4" borderId="0" xfId="0" applyNumberFormat="1" applyFont="1" applyFill="1" applyBorder="1" applyProtection="1"/>
    <xf numFmtId="0" fontId="33" fillId="4" borderId="0" xfId="0" applyFont="1" applyFill="1" applyBorder="1" applyProtection="1"/>
    <xf numFmtId="4" fontId="18" fillId="6" borderId="0" xfId="0" applyNumberFormat="1" applyFont="1" applyFill="1" applyBorder="1" applyProtection="1"/>
    <xf numFmtId="0" fontId="0" fillId="0" borderId="0" xfId="0" applyBorder="1" applyProtection="1"/>
    <xf numFmtId="0" fontId="8" fillId="3" borderId="0" xfId="0" applyFont="1" applyFill="1" applyProtection="1"/>
    <xf numFmtId="0" fontId="0" fillId="3" borderId="0" xfId="0" applyFill="1" applyProtection="1"/>
    <xf numFmtId="4" fontId="20" fillId="3" borderId="0" xfId="0" applyNumberFormat="1" applyFont="1" applyFill="1" applyBorder="1" applyProtection="1"/>
    <xf numFmtId="0" fontId="8" fillId="5" borderId="0" xfId="0" applyFont="1" applyFill="1" applyProtection="1"/>
    <xf numFmtId="0" fontId="0" fillId="5" borderId="0" xfId="0" applyFill="1" applyProtection="1"/>
    <xf numFmtId="165" fontId="18" fillId="6" borderId="0" xfId="0" applyNumberFormat="1" applyFont="1" applyFill="1" applyBorder="1" applyProtection="1"/>
    <xf numFmtId="0" fontId="8" fillId="7" borderId="0" xfId="0" applyFont="1" applyFill="1" applyProtection="1"/>
    <xf numFmtId="0" fontId="0" fillId="7" borderId="0" xfId="0" applyFill="1" applyProtection="1"/>
    <xf numFmtId="4" fontId="20" fillId="7" borderId="0" xfId="0" applyNumberFormat="1" applyFont="1" applyFill="1" applyProtection="1"/>
    <xf numFmtId="165" fontId="20" fillId="7" borderId="0" xfId="0" applyNumberFormat="1" applyFont="1" applyFill="1" applyProtection="1"/>
    <xf numFmtId="0" fontId="7" fillId="5" borderId="0" xfId="0" applyFont="1" applyFill="1" applyProtection="1"/>
    <xf numFmtId="0" fontId="18" fillId="6" borderId="0" xfId="0" applyFont="1" applyFill="1" applyProtection="1"/>
    <xf numFmtId="0" fontId="0" fillId="5" borderId="0" xfId="0" applyFont="1" applyFill="1" applyProtection="1"/>
    <xf numFmtId="165" fontId="21" fillId="6" borderId="0" xfId="0" applyNumberFormat="1" applyFont="1" applyFill="1" applyProtection="1"/>
    <xf numFmtId="167" fontId="37" fillId="4" borderId="19" xfId="0" applyNumberFormat="1" applyFont="1" applyFill="1" applyBorder="1" applyProtection="1"/>
    <xf numFmtId="0" fontId="0" fillId="0" borderId="14" xfId="0" applyBorder="1" applyProtection="1"/>
    <xf numFmtId="167" fontId="37" fillId="4" borderId="21" xfId="0" applyNumberFormat="1" applyFont="1" applyFill="1" applyBorder="1" applyProtection="1"/>
    <xf numFmtId="0" fontId="16" fillId="0" borderId="0" xfId="0" applyFont="1" applyFill="1" applyBorder="1" applyProtection="1"/>
    <xf numFmtId="4" fontId="16" fillId="0" borderId="0" xfId="0" applyNumberFormat="1" applyFont="1" applyFill="1" applyBorder="1" applyProtection="1"/>
    <xf numFmtId="167" fontId="37" fillId="0" borderId="0" xfId="0" applyNumberFormat="1" applyFont="1" applyFill="1" applyBorder="1" applyProtection="1"/>
    <xf numFmtId="4" fontId="18" fillId="0" borderId="12" xfId="0" applyNumberFormat="1" applyFont="1" applyFill="1" applyBorder="1" applyProtection="1"/>
    <xf numFmtId="0" fontId="0" fillId="5" borderId="0" xfId="0" applyFill="1" applyBorder="1" applyProtection="1"/>
    <xf numFmtId="4" fontId="16" fillId="6" borderId="0" xfId="0" applyNumberFormat="1" applyFont="1" applyFill="1" applyBorder="1" applyProtection="1"/>
    <xf numFmtId="167" fontId="37" fillId="4" borderId="0" xfId="0" applyNumberFormat="1" applyFont="1" applyFill="1" applyBorder="1" applyProtection="1"/>
    <xf numFmtId="0" fontId="0" fillId="3" borderId="0" xfId="0" applyFill="1" applyBorder="1" applyProtection="1"/>
    <xf numFmtId="4" fontId="18" fillId="6" borderId="12" xfId="0" applyNumberFormat="1" applyFont="1" applyFill="1" applyBorder="1" applyProtection="1"/>
    <xf numFmtId="167" fontId="37" fillId="0" borderId="12" xfId="0" applyNumberFormat="1" applyFont="1" applyFill="1" applyBorder="1" applyProtection="1"/>
    <xf numFmtId="4" fontId="18" fillId="0" borderId="0" xfId="0" applyNumberFormat="1" applyFont="1" applyFill="1" applyBorder="1" applyProtection="1"/>
    <xf numFmtId="0" fontId="27" fillId="4" borderId="1" xfId="0" applyFont="1" applyFill="1" applyBorder="1" applyAlignment="1" applyProtection="1">
      <alignment horizontal="center"/>
      <protection locked="0"/>
    </xf>
    <xf numFmtId="0" fontId="17" fillId="0" borderId="11" xfId="0" applyFont="1" applyFill="1" applyBorder="1" applyProtection="1">
      <protection locked="0"/>
    </xf>
    <xf numFmtId="4" fontId="17" fillId="0" borderId="0" xfId="0" applyNumberFormat="1" applyFont="1" applyFill="1" applyBorder="1" applyProtection="1">
      <protection locked="0"/>
    </xf>
    <xf numFmtId="165" fontId="17" fillId="0" borderId="16" xfId="0" applyNumberFormat="1" applyFont="1" applyFill="1" applyBorder="1" applyProtection="1">
      <protection locked="0"/>
    </xf>
    <xf numFmtId="0" fontId="16" fillId="4" borderId="22" xfId="0" applyFont="1" applyFill="1" applyBorder="1" applyProtection="1">
      <protection locked="0"/>
    </xf>
    <xf numFmtId="0" fontId="16" fillId="4" borderId="23" xfId="0" applyFont="1" applyFill="1" applyBorder="1" applyProtection="1">
      <protection locked="0"/>
    </xf>
    <xf numFmtId="4" fontId="16" fillId="4" borderId="19" xfId="0" applyNumberFormat="1" applyFont="1" applyFill="1" applyBorder="1" applyProtection="1">
      <protection locked="0"/>
    </xf>
    <xf numFmtId="4" fontId="16" fillId="4" borderId="21" xfId="0" applyNumberFormat="1" applyFont="1" applyFill="1" applyBorder="1" applyProtection="1">
      <protection locked="0"/>
    </xf>
    <xf numFmtId="0" fontId="16" fillId="4" borderId="19" xfId="0" applyFont="1" applyFill="1" applyBorder="1" applyProtection="1">
      <protection locked="0"/>
    </xf>
    <xf numFmtId="0" fontId="16" fillId="4" borderId="21" xfId="0" applyFont="1" applyFill="1" applyBorder="1" applyProtection="1">
      <protection locked="0"/>
    </xf>
    <xf numFmtId="4" fontId="16" fillId="6" borderId="19" xfId="0" applyNumberFormat="1" applyFont="1" applyFill="1" applyBorder="1" applyProtection="1">
      <protection locked="0"/>
    </xf>
    <xf numFmtId="4" fontId="16" fillId="6" borderId="21" xfId="0" applyNumberFormat="1" applyFont="1" applyFill="1" applyBorder="1" applyProtection="1">
      <protection locked="0"/>
    </xf>
    <xf numFmtId="0" fontId="5" fillId="0" borderId="0" xfId="0" applyFont="1" applyProtection="1"/>
    <xf numFmtId="0" fontId="34" fillId="3" borderId="0" xfId="1" applyFont="1" applyFill="1" applyAlignment="1" applyProtection="1">
      <alignment vertical="center"/>
    </xf>
    <xf numFmtId="0" fontId="35" fillId="2" borderId="0" xfId="1" quotePrefix="1" applyFont="1" applyFill="1" applyAlignment="1" applyProtection="1">
      <alignment vertical="center"/>
    </xf>
    <xf numFmtId="0" fontId="29" fillId="2" borderId="0" xfId="0" applyFont="1" applyFill="1" applyAlignment="1" applyProtection="1">
      <alignment vertical="center"/>
    </xf>
    <xf numFmtId="0" fontId="28" fillId="5" borderId="0" xfId="0" applyFont="1" applyFill="1" applyAlignment="1" applyProtection="1">
      <alignment vertical="center"/>
    </xf>
    <xf numFmtId="0" fontId="9" fillId="2" borderId="0" xfId="0" applyFont="1" applyFill="1" applyProtection="1"/>
    <xf numFmtId="0" fontId="10" fillId="2" borderId="2" xfId="0" applyFont="1" applyFill="1" applyBorder="1" applyAlignment="1" applyProtection="1">
      <alignment horizontal="left" vertical="center"/>
    </xf>
    <xf numFmtId="0" fontId="10" fillId="2" borderId="3" xfId="0" applyFont="1" applyFill="1" applyBorder="1" applyAlignment="1" applyProtection="1">
      <alignment horizontal="center" vertical="center"/>
    </xf>
    <xf numFmtId="0" fontId="10" fillId="2" borderId="4" xfId="0" applyFont="1" applyFill="1" applyBorder="1" applyAlignment="1" applyProtection="1">
      <alignment horizontal="center" vertical="center"/>
    </xf>
    <xf numFmtId="0" fontId="21" fillId="4" borderId="5" xfId="0" applyFont="1" applyFill="1" applyBorder="1" applyAlignment="1" applyProtection="1">
      <alignment vertical="center"/>
    </xf>
    <xf numFmtId="4" fontId="18" fillId="4" borderId="6" xfId="0" applyNumberFormat="1" applyFont="1" applyFill="1" applyBorder="1" applyAlignment="1" applyProtection="1">
      <alignment vertical="center"/>
    </xf>
    <xf numFmtId="165" fontId="18" fillId="4" borderId="6" xfId="0" applyNumberFormat="1" applyFont="1" applyFill="1" applyBorder="1" applyAlignment="1" applyProtection="1">
      <alignment vertical="center"/>
    </xf>
    <xf numFmtId="0" fontId="18" fillId="4" borderId="7" xfId="0" applyFont="1" applyFill="1" applyBorder="1" applyAlignment="1" applyProtection="1">
      <alignment horizontal="center" vertical="center"/>
    </xf>
    <xf numFmtId="0" fontId="21" fillId="5" borderId="5" xfId="0" applyFont="1" applyFill="1" applyBorder="1" applyAlignment="1" applyProtection="1">
      <alignment vertical="center"/>
    </xf>
    <xf numFmtId="4" fontId="18" fillId="5" borderId="6" xfId="0" applyNumberFormat="1" applyFont="1" applyFill="1" applyBorder="1" applyAlignment="1" applyProtection="1">
      <alignment vertical="center"/>
    </xf>
    <xf numFmtId="165" fontId="18" fillId="5" borderId="6" xfId="0" applyNumberFormat="1" applyFont="1" applyFill="1" applyBorder="1" applyAlignment="1" applyProtection="1">
      <alignment vertical="center"/>
    </xf>
    <xf numFmtId="0" fontId="18" fillId="5" borderId="7" xfId="0" applyFont="1" applyFill="1" applyBorder="1" applyAlignment="1" applyProtection="1">
      <alignment horizontal="center" vertical="center"/>
    </xf>
    <xf numFmtId="0" fontId="21" fillId="4" borderId="8" xfId="0" applyFont="1" applyFill="1" applyBorder="1" applyAlignment="1" applyProtection="1">
      <alignment vertical="center"/>
    </xf>
    <xf numFmtId="4" fontId="18" fillId="4" borderId="9" xfId="0" applyNumberFormat="1" applyFont="1" applyFill="1" applyBorder="1" applyAlignment="1" applyProtection="1">
      <alignment vertical="center"/>
    </xf>
    <xf numFmtId="165" fontId="18" fillId="4" borderId="9" xfId="0" applyNumberFormat="1" applyFont="1" applyFill="1" applyBorder="1" applyAlignment="1" applyProtection="1">
      <alignment vertical="center"/>
    </xf>
    <xf numFmtId="0" fontId="18" fillId="4" borderId="10" xfId="0" applyFont="1" applyFill="1" applyBorder="1" applyAlignment="1" applyProtection="1">
      <alignment horizontal="center" vertical="center"/>
    </xf>
    <xf numFmtId="0" fontId="26" fillId="3" borderId="0" xfId="0" applyFont="1" applyFill="1" applyAlignment="1" applyProtection="1">
      <alignment horizontal="right"/>
    </xf>
    <xf numFmtId="165" fontId="8" fillId="3" borderId="0" xfId="0" applyNumberFormat="1" applyFont="1" applyFill="1" applyProtection="1"/>
    <xf numFmtId="0" fontId="6" fillId="2" borderId="0" xfId="0" applyFont="1" applyFill="1" applyProtection="1"/>
    <xf numFmtId="0" fontId="0" fillId="2" borderId="0" xfId="0" applyFill="1" applyProtection="1"/>
    <xf numFmtId="0" fontId="22" fillId="0" borderId="0" xfId="0" applyFont="1" applyProtection="1"/>
    <xf numFmtId="165" fontId="18" fillId="0" borderId="0" xfId="0" applyNumberFormat="1" applyFont="1" applyProtection="1"/>
    <xf numFmtId="0" fontId="8" fillId="0" borderId="0" xfId="0" applyFont="1" applyProtection="1"/>
    <xf numFmtId="0" fontId="23" fillId="0" borderId="0" xfId="0" applyFont="1" applyProtection="1"/>
    <xf numFmtId="0" fontId="19" fillId="7" borderId="0" xfId="0" applyFont="1" applyFill="1" applyProtection="1"/>
    <xf numFmtId="0" fontId="24" fillId="0" borderId="0" xfId="0" applyFont="1" applyProtection="1"/>
    <xf numFmtId="165" fontId="25" fillId="0" borderId="0" xfId="0" applyNumberFormat="1" applyFont="1" applyProtection="1"/>
    <xf numFmtId="4" fontId="25" fillId="4" borderId="0" xfId="0" applyNumberFormat="1" applyFont="1" applyFill="1" applyProtection="1"/>
    <xf numFmtId="165" fontId="18" fillId="7" borderId="0" xfId="0" applyNumberFormat="1" applyFont="1" applyFill="1" applyProtection="1"/>
    <xf numFmtId="4" fontId="18" fillId="7" borderId="0" xfId="0" applyNumberFormat="1" applyFont="1" applyFill="1" applyProtection="1"/>
    <xf numFmtId="0" fontId="17" fillId="4" borderId="1" xfId="0" applyFont="1" applyFill="1" applyBorder="1" applyProtection="1">
      <protection locked="0"/>
    </xf>
    <xf numFmtId="0" fontId="11" fillId="2" borderId="0" xfId="0" applyFont="1" applyFill="1" applyProtection="1"/>
    <xf numFmtId="0" fontId="3" fillId="0" borderId="0" xfId="0" applyFont="1" applyAlignment="1" applyProtection="1">
      <alignment vertical="center"/>
    </xf>
    <xf numFmtId="0" fontId="30" fillId="5" borderId="0" xfId="0" applyFont="1" applyFill="1" applyProtection="1"/>
    <xf numFmtId="0" fontId="3" fillId="0" borderId="0" xfId="0" applyFont="1" applyProtection="1"/>
    <xf numFmtId="0" fontId="3" fillId="4" borderId="0" xfId="0" applyFont="1" applyFill="1" applyAlignment="1" applyProtection="1">
      <alignment vertical="center"/>
    </xf>
    <xf numFmtId="0" fontId="3" fillId="5" borderId="0" xfId="0" applyFont="1" applyFill="1" applyAlignment="1" applyProtection="1">
      <alignment vertical="center"/>
    </xf>
    <xf numFmtId="0" fontId="31" fillId="5" borderId="0" xfId="0" applyFont="1" applyFill="1" applyAlignment="1" applyProtection="1">
      <alignment vertical="center"/>
    </xf>
    <xf numFmtId="0" fontId="13" fillId="3" borderId="0" xfId="0" applyFont="1" applyFill="1" applyProtection="1"/>
    <xf numFmtId="0" fontId="12" fillId="0" borderId="0" xfId="0" applyFont="1" applyAlignment="1" applyProtection="1">
      <alignment vertical="center"/>
    </xf>
    <xf numFmtId="0" fontId="13" fillId="0" borderId="0" xfId="0" applyFont="1" applyProtection="1"/>
    <xf numFmtId="0" fontId="32" fillId="0" borderId="0" xfId="1" applyFont="1" applyProtection="1"/>
  </cellXfs>
  <cellStyles count="2">
    <cellStyle name="Hyperlink" xfId="1" builtinId="8"/>
    <cellStyle name="Normal" xfId="0" builtinId="0"/>
  </cellStyles>
  <dxfs count="6">
    <dxf>
      <font>
        <color rgb="FFFFFFFF"/>
      </font>
      <fill>
        <patternFill patternType="solid">
          <fgColor indexed="64"/>
          <bgColor rgb="FFE65C5C"/>
        </patternFill>
      </fill>
    </dxf>
    <dxf>
      <font>
        <color rgb="FF0A0F0E"/>
      </font>
      <fill>
        <patternFill patternType="solid">
          <fgColor indexed="64"/>
          <bgColor rgb="FFF4ECBD"/>
        </patternFill>
      </fill>
    </dxf>
    <dxf>
      <font>
        <color rgb="FF0E4F47"/>
      </font>
      <fill>
        <patternFill patternType="solid">
          <fgColor indexed="64"/>
          <bgColor rgb="FF4ECB71"/>
        </patternFill>
      </fill>
    </dxf>
    <dxf>
      <font>
        <color rgb="FFFFFFFF"/>
      </font>
      <fill>
        <patternFill patternType="solid">
          <fgColor indexed="64"/>
          <bgColor rgb="FFE65C5C"/>
        </patternFill>
      </fill>
    </dxf>
    <dxf>
      <font>
        <color rgb="FF0A0F0E"/>
      </font>
      <fill>
        <patternFill patternType="solid">
          <fgColor indexed="64"/>
          <bgColor rgb="FFF4ECBD"/>
        </patternFill>
      </fill>
    </dxf>
    <dxf>
      <font>
        <color rgb="FF0E4F47"/>
      </font>
      <fill>
        <patternFill patternType="solid">
          <fgColor indexed="64"/>
          <bgColor rgb="FF4ECB7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0E4F47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Avg Food Cost vs Gross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0E4F47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Dashboard!$E$20:$F$20</c:f>
              <c:strCache>
                <c:ptCount val="2"/>
                <c:pt idx="0">
                  <c:v>Avg Food Cost %</c:v>
                </c:pt>
                <c:pt idx="1">
                  <c:v>Avg Gross Margin %</c:v>
                </c:pt>
              </c:strCache>
            </c:strRef>
          </c:cat>
          <c:val>
            <c:numRef>
              <c:f>Dashboard!$E$21:$F$21</c:f>
              <c:numCache>
                <c:formatCode>0.0%</c:formatCode>
                <c:ptCount val="2"/>
                <c:pt idx="0">
                  <c:v>0.20311094552741848</c:v>
                </c:pt>
                <c:pt idx="1">
                  <c:v>0.79688905447258152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75-4F4F-88E0-98AF760B8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E4F47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Dashboard!$F$24</c:f>
          <c:strCache>
            <c:ptCount val="1"/>
            <c:pt idx="0">
              <c:v>Grilled Salmon Bowl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Dashboard!$E$26:$E$38</c:f>
              <c:strCache>
                <c:ptCount val="13"/>
                <c:pt idx="0">
                  <c:v>Salmon fillet</c:v>
                </c:pt>
                <c:pt idx="1">
                  <c:v>Basmati rice</c:v>
                </c:pt>
                <c:pt idx="2">
                  <c:v>Avocado</c:v>
                </c:pt>
                <c:pt idx="3">
                  <c:v>Edamame</c:v>
                </c:pt>
                <c:pt idx="4">
                  <c:v>Sesame dressing</c:v>
                </c:pt>
                <c:pt idx="5">
                  <c:v>Spring onion</c:v>
                </c:pt>
                <c:pt idx="6">
                  <c:v>Sesame seeds</c:v>
                </c:pt>
                <c:pt idx="7">
                  <c:v>Lime wedge</c:v>
                </c:pt>
                <c:pt idx="8">
                  <c:v>Soy sauce</c:v>
                </c:pt>
                <c:pt idx="9">
                  <c:v>Pickled ginger</c:v>
                </c:pt>
                <c:pt idx="12">
                  <c:v>Gross Margin</c:v>
                </c:pt>
              </c:strCache>
            </c:strRef>
          </c:cat>
          <c:val>
            <c:numRef>
              <c:f>Dashboard!$F$26:$F$38</c:f>
              <c:numCache>
                <c:formatCode>0.0%</c:formatCode>
                <c:ptCount val="13"/>
                <c:pt idx="0">
                  <c:v>7.8637274549098204E-2</c:v>
                </c:pt>
                <c:pt idx="1">
                  <c:v>1.5727454909819642E-2</c:v>
                </c:pt>
                <c:pt idx="2">
                  <c:v>5.2424849699398805E-2</c:v>
                </c:pt>
                <c:pt idx="3">
                  <c:v>1.7474949899799603E-2</c:v>
                </c:pt>
                <c:pt idx="4">
                  <c:v>1.5727454909819642E-2</c:v>
                </c:pt>
                <c:pt idx="5">
                  <c:v>2.6212424849699403E-3</c:v>
                </c:pt>
                <c:pt idx="6">
                  <c:v>5.4609218436873757E-3</c:v>
                </c:pt>
                <c:pt idx="7">
                  <c:v>6.5531062124248507E-3</c:v>
                </c:pt>
                <c:pt idx="8">
                  <c:v>2.6212424849699403E-3</c:v>
                </c:pt>
                <c:pt idx="9">
                  <c:v>5.2424849699398805E-3</c:v>
                </c:pt>
                <c:pt idx="10">
                  <c:v>0</c:v>
                </c:pt>
                <c:pt idx="11">
                  <c:v>0</c:v>
                </c:pt>
                <c:pt idx="12">
                  <c:v>0.79750901803607221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Dashboard!$F$25</c15:sqref>
                        </c15:formulaRef>
                      </c:ext>
                    </c:extLst>
                    <c:strCache>
                      <c:ptCount val="1"/>
                      <c:pt idx="0">
                        <c:v>% of Selling Price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1F7C-472A-853D-CAA54ADDB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1"/>
                <c:order val="1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</c:dP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Dashboard!$F$24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Grilled Salmon Bowl</c:v>
                            </c:pt>
                          </c:strCache>
                        </c:strRef>
                      </c15:tx>
                    </c15:filteredSeriesTitle>
                  </c:ext>
                  <c:ext xmlns:c16="http://schemas.microsoft.com/office/drawing/2014/chart" uri="{C3380CC4-5D6E-409C-BE32-E72D297353CC}">
                    <c16:uniqueId val="{00000001-1F7C-472A-853D-CAA54ADDB10F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rgbClr val="0E4F47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7</xdr:row>
      <xdr:rowOff>19050</xdr:rowOff>
    </xdr:from>
    <xdr:to>
      <xdr:col>17</xdr:col>
      <xdr:colOff>374650</xdr:colOff>
      <xdr:row>17</xdr:row>
      <xdr:rowOff>234950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935ED3-E4FA-9768-9388-AEE7839754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228599</xdr:colOff>
      <xdr:row>22</xdr:row>
      <xdr:rowOff>85726</xdr:rowOff>
    </xdr:from>
    <xdr:to>
      <xdr:col>15</xdr:col>
      <xdr:colOff>333375</xdr:colOff>
      <xdr:row>38</xdr:row>
      <xdr:rowOff>57151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80DE6A6-95B6-B0E7-AB67-914C269E8F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19050</xdr:colOff>
      <xdr:row>0</xdr:row>
      <xdr:rowOff>47625</xdr:rowOff>
    </xdr:from>
    <xdr:to>
      <xdr:col>1</xdr:col>
      <xdr:colOff>1639050</xdr:colOff>
      <xdr:row>1</xdr:row>
      <xdr:rowOff>11625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0033184-F715-44B4-91B9-7834897E5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47625"/>
          <a:ext cx="1620000" cy="421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19049</xdr:colOff>
      <xdr:row>0</xdr:row>
      <xdr:rowOff>47624</xdr:rowOff>
    </xdr:from>
    <xdr:to>
      <xdr:col>1</xdr:col>
      <xdr:colOff>1639049</xdr:colOff>
      <xdr:row>1</xdr:row>
      <xdr:rowOff>11624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F02DD-8A31-466A-9D25-08613F049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4" y="47624"/>
          <a:ext cx="1620000" cy="421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47625</xdr:rowOff>
    </xdr:from>
    <xdr:to>
      <xdr:col>1</xdr:col>
      <xdr:colOff>1639050</xdr:colOff>
      <xdr:row>1</xdr:row>
      <xdr:rowOff>11625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845752-BF01-4243-AF62-47E9BC2B2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47625"/>
          <a:ext cx="1620000" cy="421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4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CC9767C-20D8-4A13-8D29-A9C692AD60ED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cal.com/pointnumera/dish-profitability-re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9D945-DCE5-4136-B170-7C863346A26A}">
  <dimension ref="A1:J89"/>
  <sheetViews>
    <sheetView showGridLines="0" tabSelected="1" workbookViewId="0">
      <pane ySplit="5" topLeftCell="A6" activePane="bottomLeft" state="frozen"/>
      <selection pane="bottomLeft" activeCell="Q29" sqref="Q29"/>
    </sheetView>
  </sheetViews>
  <sheetFormatPr defaultRowHeight="12.75" x14ac:dyDescent="0.2"/>
  <cols>
    <col min="1" max="1" width="1.28515625" style="5" customWidth="1"/>
    <col min="2" max="2" width="31.42578125" style="5" customWidth="1"/>
    <col min="3" max="3" width="1.85546875" style="5" customWidth="1"/>
    <col min="4" max="4" width="1.5703125" style="5" customWidth="1"/>
    <col min="5" max="5" width="24.7109375" style="5" customWidth="1"/>
    <col min="6" max="6" width="21" style="5" customWidth="1"/>
    <col min="7" max="7" width="19" style="5" customWidth="1"/>
    <col min="8" max="9" width="21" style="5" customWidth="1"/>
    <col min="10" max="10" width="15.28515625" style="5" customWidth="1"/>
    <col min="11" max="12" width="2.85546875" style="5" customWidth="1"/>
    <col min="13" max="16384" width="9.140625" style="5"/>
  </cols>
  <sheetData>
    <row r="1" spans="1:10" ht="36" customHeight="1" x14ac:dyDescent="0.3">
      <c r="A1" s="2"/>
      <c r="B1" s="3"/>
      <c r="C1" s="4"/>
      <c r="E1" s="6" t="s">
        <v>26</v>
      </c>
    </row>
    <row r="2" spans="1:10" ht="18" customHeight="1" x14ac:dyDescent="0.2">
      <c r="A2" s="2"/>
      <c r="B2" s="8" t="s">
        <v>1</v>
      </c>
      <c r="C2" s="4"/>
      <c r="E2" s="73"/>
    </row>
    <row r="3" spans="1:10" ht="24.75" customHeight="1" x14ac:dyDescent="0.25">
      <c r="A3" s="4"/>
      <c r="B3" s="74" t="s">
        <v>2</v>
      </c>
      <c r="C3" s="4"/>
      <c r="E3" t="s">
        <v>89</v>
      </c>
    </row>
    <row r="4" spans="1:10" ht="21.95" customHeight="1" x14ac:dyDescent="0.25">
      <c r="A4" s="2"/>
      <c r="B4" s="75" t="s">
        <v>3</v>
      </c>
      <c r="C4" s="4"/>
      <c r="E4" t="s">
        <v>90</v>
      </c>
    </row>
    <row r="5" spans="1:10" ht="21.95" customHeight="1" x14ac:dyDescent="0.2">
      <c r="A5" s="2"/>
      <c r="B5" s="10" t="s">
        <v>4</v>
      </c>
      <c r="C5" s="4"/>
    </row>
    <row r="6" spans="1:10" ht="21.95" customHeight="1" x14ac:dyDescent="0.2">
      <c r="A6" s="2"/>
      <c r="B6" s="2"/>
      <c r="C6" s="4"/>
      <c r="E6" s="76" t="s">
        <v>27</v>
      </c>
      <c r="F6" s="2"/>
      <c r="G6" s="2"/>
    </row>
    <row r="7" spans="1:10" ht="21" x14ac:dyDescent="0.2">
      <c r="A7" s="2"/>
      <c r="B7" s="2"/>
      <c r="C7" s="4"/>
      <c r="E7" s="77" t="s">
        <v>18</v>
      </c>
      <c r="F7" s="1">
        <v>0.3</v>
      </c>
    </row>
    <row r="8" spans="1:10" x14ac:dyDescent="0.2">
      <c r="A8" s="2"/>
      <c r="B8" s="2"/>
      <c r="C8" s="4"/>
    </row>
    <row r="9" spans="1:10" x14ac:dyDescent="0.2">
      <c r="A9" s="2"/>
      <c r="B9" s="2"/>
      <c r="C9" s="4"/>
      <c r="E9" s="78" t="s">
        <v>28</v>
      </c>
      <c r="F9" s="2"/>
      <c r="G9" s="2"/>
      <c r="H9" s="2"/>
      <c r="I9" s="2"/>
      <c r="J9" s="2"/>
    </row>
    <row r="10" spans="1:10" ht="24" customHeight="1" x14ac:dyDescent="0.2">
      <c r="A10" s="2"/>
      <c r="B10" s="2"/>
      <c r="C10" s="4"/>
      <c r="E10" s="79" t="s">
        <v>6</v>
      </c>
      <c r="F10" s="80" t="str">
        <f>"Selling Price ("&amp;'Dish Input'!$F$3&amp;")"</f>
        <v>Selling Price (CHF)</v>
      </c>
      <c r="G10" s="80" t="s">
        <v>14</v>
      </c>
      <c r="H10" s="80" t="str">
        <f>"Gross Margin ("&amp;'Dish Input'!$F$3&amp;")"</f>
        <v>Gross Margin (CHF)</v>
      </c>
      <c r="I10" s="80" t="s">
        <v>16</v>
      </c>
      <c r="J10" s="81" t="s">
        <v>29</v>
      </c>
    </row>
    <row r="11" spans="1:10" ht="24" customHeight="1" x14ac:dyDescent="0.2">
      <c r="A11" s="2"/>
      <c r="B11" s="2"/>
      <c r="C11" s="4"/>
      <c r="E11" s="82" t="str">
        <f>'Dish Input'!F7</f>
        <v>Grilled Salmon Bowl</v>
      </c>
      <c r="F11" s="83">
        <f>'Dish Input'!F10</f>
        <v>22.88990825688073</v>
      </c>
      <c r="G11" s="84">
        <f>'Dish Input'!J27</f>
        <v>0.20249098196392787</v>
      </c>
      <c r="H11" s="83">
        <f>'Dish Input'!J28</f>
        <v>18.254908256880732</v>
      </c>
      <c r="I11" s="84">
        <f>'Dish Input'!J29</f>
        <v>0.79750901803607221</v>
      </c>
      <c r="J11" s="85" t="str">
        <f>IF(F11=0,"—",IF(G11&lt;=$F$7,"✅ On Target",IF(G11&lt;=$F$7+0.05,"⚠ Watch","❌ Over")))</f>
        <v>✅ On Target</v>
      </c>
    </row>
    <row r="12" spans="1:10" ht="24" customHeight="1" x14ac:dyDescent="0.2">
      <c r="A12" s="2"/>
      <c r="B12" s="2"/>
      <c r="C12" s="4"/>
      <c r="E12" s="86" t="str">
        <f>'Dish Input'!F33</f>
        <v>Margherita Pizza</v>
      </c>
      <c r="F12" s="87">
        <f>'Dish Input'!F36</f>
        <v>15.137614678899082</v>
      </c>
      <c r="G12" s="88">
        <f>'Dish Input'!J53</f>
        <v>0.20373090909090907</v>
      </c>
      <c r="H12" s="87">
        <f>'Dish Input'!J54</f>
        <v>12.053614678899082</v>
      </c>
      <c r="I12" s="88">
        <f>'Dish Input'!J55</f>
        <v>0.79626909090909093</v>
      </c>
      <c r="J12" s="89" t="str">
        <f>IF(F12=0,"—",IF(G12&lt;=$F$7,"✅ On Target",IF(G12&lt;=$F$7+0.05,"⚠ Watch","❌ Over")))</f>
        <v>✅ On Target</v>
      </c>
    </row>
    <row r="13" spans="1:10" ht="24" customHeight="1" x14ac:dyDescent="0.2">
      <c r="A13" s="2"/>
      <c r="B13" s="2"/>
      <c r="C13" s="4"/>
      <c r="E13" s="82" t="str">
        <f>'Dish Input'!F59</f>
        <v>Dish 3</v>
      </c>
      <c r="F13" s="83">
        <f>'Dish Input'!F62</f>
        <v>0</v>
      </c>
      <c r="G13" s="84">
        <f>'Dish Input'!J79</f>
        <v>0</v>
      </c>
      <c r="H13" s="83">
        <f>'Dish Input'!J80</f>
        <v>0</v>
      </c>
      <c r="I13" s="84">
        <f>'Dish Input'!J81</f>
        <v>0</v>
      </c>
      <c r="J13" s="85" t="str">
        <f>IF(F13=0,"—",IF(G13&lt;=$F$7,"✅ On Target",IF(G13&lt;=$F$7+0.05,"⚠ Watch","❌ Over")))</f>
        <v>—</v>
      </c>
    </row>
    <row r="14" spans="1:10" ht="24" customHeight="1" x14ac:dyDescent="0.2">
      <c r="A14" s="2"/>
      <c r="B14" s="2"/>
      <c r="C14" s="4"/>
      <c r="E14" s="86" t="str">
        <f>'Dish Input'!F85</f>
        <v>Dish 4</v>
      </c>
      <c r="F14" s="87">
        <f>'Dish Input'!F88</f>
        <v>0</v>
      </c>
      <c r="G14" s="88">
        <f>'Dish Input'!J105</f>
        <v>0</v>
      </c>
      <c r="H14" s="87">
        <f>'Dish Input'!J106</f>
        <v>0</v>
      </c>
      <c r="I14" s="88">
        <f>'Dish Input'!J107</f>
        <v>0</v>
      </c>
      <c r="J14" s="89" t="str">
        <f>IF(F14=0,"—",IF(G14&lt;=$F$7,"✅ On Target",IF(G14&lt;=$F$7+0.05,"⚠ Watch","❌ Over")))</f>
        <v>—</v>
      </c>
    </row>
    <row r="15" spans="1:10" ht="24" customHeight="1" x14ac:dyDescent="0.2">
      <c r="A15" s="2"/>
      <c r="B15" s="2"/>
      <c r="C15" s="4"/>
      <c r="E15" s="90" t="str">
        <f>'Dish Input'!F111</f>
        <v>Dish 5</v>
      </c>
      <c r="F15" s="91">
        <f>'Dish Input'!F114</f>
        <v>0</v>
      </c>
      <c r="G15" s="92">
        <f>'Dish Input'!J131</f>
        <v>0</v>
      </c>
      <c r="H15" s="91">
        <f>'Dish Input'!J132</f>
        <v>0</v>
      </c>
      <c r="I15" s="92">
        <f>'Dish Input'!J133</f>
        <v>0</v>
      </c>
      <c r="J15" s="93" t="str">
        <f>IF(F15=0,"—",IF(G15&lt;=$F$7,"✅ On Target",IF(G15&lt;=$F$7+0.05,"⚠ Watch","❌ Over")))</f>
        <v>—</v>
      </c>
    </row>
    <row r="16" spans="1:10" ht="24" customHeight="1" x14ac:dyDescent="0.25">
      <c r="A16" s="2"/>
      <c r="B16" s="2"/>
      <c r="C16" s="4"/>
      <c r="E16" s="7"/>
      <c r="F16" s="7"/>
      <c r="G16" s="7"/>
      <c r="H16" s="7"/>
      <c r="I16" s="7"/>
      <c r="J16" s="7"/>
    </row>
    <row r="17" spans="1:10" ht="24" customHeight="1" x14ac:dyDescent="0.25">
      <c r="A17" s="2"/>
      <c r="B17" s="2"/>
      <c r="C17" s="4"/>
      <c r="E17" s="33" t="s">
        <v>30</v>
      </c>
      <c r="F17" s="94" t="s">
        <v>31</v>
      </c>
      <c r="G17" s="95">
        <f>IFERROR(AVERAGEIF(F11:F15,"&gt;0",G11:G15),0)</f>
        <v>0.20311094552741848</v>
      </c>
      <c r="H17" s="94" t="s">
        <v>32</v>
      </c>
      <c r="I17" s="95">
        <f>IFERROR(AVERAGEIF(F11:F15,"&gt;0",I11:I15),0)</f>
        <v>0.79688905447258152</v>
      </c>
      <c r="J17" s="34"/>
    </row>
    <row r="18" spans="1:10" ht="24" customHeight="1" x14ac:dyDescent="0.25">
      <c r="A18" s="2"/>
      <c r="B18" s="2"/>
      <c r="C18" s="4"/>
      <c r="E18" s="7"/>
      <c r="F18" s="7"/>
      <c r="G18" s="7"/>
      <c r="H18" s="7"/>
      <c r="I18" s="7"/>
      <c r="J18" s="7"/>
    </row>
    <row r="19" spans="1:10" ht="24" customHeight="1" x14ac:dyDescent="0.25">
      <c r="A19" s="2"/>
      <c r="B19" s="2"/>
      <c r="C19" s="4"/>
      <c r="E19" s="96" t="s">
        <v>33</v>
      </c>
      <c r="F19" s="97"/>
      <c r="G19" s="97"/>
      <c r="H19" s="7"/>
      <c r="I19" s="7"/>
      <c r="J19" s="7"/>
    </row>
    <row r="20" spans="1:10" ht="24" customHeight="1" x14ac:dyDescent="0.25">
      <c r="A20" s="2"/>
      <c r="B20" s="2"/>
      <c r="C20" s="4"/>
      <c r="E20" s="98" t="s">
        <v>34</v>
      </c>
      <c r="F20" s="98" t="s">
        <v>35</v>
      </c>
      <c r="G20" s="7"/>
      <c r="H20" s="7"/>
      <c r="I20" s="7"/>
      <c r="J20" s="7"/>
    </row>
    <row r="21" spans="1:10" ht="24" customHeight="1" x14ac:dyDescent="0.25">
      <c r="A21" s="2"/>
      <c r="B21" s="2"/>
      <c r="C21" s="4"/>
      <c r="E21" s="99">
        <f>G17</f>
        <v>0.20311094552741848</v>
      </c>
      <c r="F21" s="99">
        <f>I17</f>
        <v>0.79688905447258152</v>
      </c>
      <c r="G21" s="7"/>
      <c r="H21" s="7"/>
      <c r="I21" s="7"/>
      <c r="J21" s="7"/>
    </row>
    <row r="22" spans="1:10" ht="15" x14ac:dyDescent="0.25">
      <c r="A22" s="2"/>
      <c r="B22" s="2"/>
      <c r="C22" s="4"/>
      <c r="E22" s="7"/>
      <c r="F22" s="7"/>
      <c r="G22" s="7"/>
      <c r="H22" s="7"/>
      <c r="I22" s="7"/>
      <c r="J22" s="7"/>
    </row>
    <row r="23" spans="1:10" x14ac:dyDescent="0.2">
      <c r="A23" s="2"/>
      <c r="B23" s="2"/>
      <c r="C23" s="4"/>
      <c r="E23" s="78" t="s">
        <v>76</v>
      </c>
      <c r="F23" s="2"/>
      <c r="G23" s="2"/>
    </row>
    <row r="24" spans="1:10" ht="15" x14ac:dyDescent="0.25">
      <c r="A24" s="2"/>
      <c r="B24" s="2"/>
      <c r="C24" s="4"/>
      <c r="E24" s="100" t="s">
        <v>77</v>
      </c>
      <c r="F24" s="108" t="s">
        <v>57</v>
      </c>
      <c r="G24" s="101">
        <f>IFERROR(MATCH(F24,$E$11:$E$15,0),1)</f>
        <v>1</v>
      </c>
      <c r="H24" s="7"/>
      <c r="I24" s="7"/>
      <c r="J24" s="7"/>
    </row>
    <row r="25" spans="1:10" ht="15" x14ac:dyDescent="0.25">
      <c r="A25" s="2"/>
      <c r="B25" s="2"/>
      <c r="C25" s="4"/>
      <c r="E25" s="102" t="s">
        <v>36</v>
      </c>
      <c r="F25" s="102" t="s">
        <v>37</v>
      </c>
      <c r="G25" s="102" t="str">
        <f>"Cost ("&amp;'Dish Input'!$F$3&amp;")"</f>
        <v>Cost (CHF)</v>
      </c>
      <c r="H25" s="7"/>
      <c r="I25" s="7"/>
      <c r="J25" s="7"/>
    </row>
    <row r="26" spans="1:10" ht="15" x14ac:dyDescent="0.25">
      <c r="A26" s="2"/>
      <c r="B26" s="2"/>
      <c r="C26" s="4"/>
      <c r="E26" s="103" t="str">
        <f>IFERROR(IF(CHOOSE($G$24,'Dish Input'!E13,'Dish Input'!E39,'Dish Input'!E65,'Dish Input'!E91,'Dish Input'!E117)=0,"",CHOOSE($G$24,'Dish Input'!E13,'Dish Input'!E39,'Dish Input'!E65,'Dish Input'!E91,'Dish Input'!E117)),"")</f>
        <v>Salmon fillet</v>
      </c>
      <c r="F26" s="104">
        <f>IF(E26="","",IFERROR(CHOOSE($G$24,'Dish Input'!J13,'Dish Input'!J39,'Dish Input'!J65,'Dish Input'!J91,'Dish Input'!J117)/CHOOSE($G$24,'Dish Input'!F10,'Dish Input'!F36,'Dish Input'!F62,'Dish Input'!F88,'Dish Input'!F114),0))</f>
        <v>7.8637274549098204E-2</v>
      </c>
      <c r="G26" s="105">
        <f>IF(E26="","",IFERROR(CHOOSE($G$24,'Dish Input'!J13,'Dish Input'!J39,'Dish Input'!J65,'Dish Input'!J91,'Dish Input'!J117),0))</f>
        <v>1.8</v>
      </c>
      <c r="H26" s="7"/>
      <c r="I26" s="7"/>
      <c r="J26" s="7"/>
    </row>
    <row r="27" spans="1:10" ht="15" x14ac:dyDescent="0.25">
      <c r="A27" s="2"/>
      <c r="B27" s="2"/>
      <c r="C27" s="4"/>
      <c r="E27" s="103" t="str">
        <f>IFERROR(IF(CHOOSE($G$24,'Dish Input'!E14,'Dish Input'!E40,'Dish Input'!E66,'Dish Input'!E92,'Dish Input'!E118)=0,"",CHOOSE($G$24,'Dish Input'!E14,'Dish Input'!E40,'Dish Input'!E66,'Dish Input'!E92,'Dish Input'!E118)),"")</f>
        <v>Basmati rice</v>
      </c>
      <c r="F27" s="104">
        <f>IF(E27="","",IFERROR(CHOOSE($G$24,'Dish Input'!J14,'Dish Input'!J40,'Dish Input'!J66,'Dish Input'!J92,'Dish Input'!J118)/CHOOSE($G$24,'Dish Input'!F10,'Dish Input'!F36,'Dish Input'!F62,'Dish Input'!F88,'Dish Input'!F114),0))</f>
        <v>1.5727454909819642E-2</v>
      </c>
      <c r="G27" s="105">
        <f>IF(E27="","",IFERROR(CHOOSE($G$24,'Dish Input'!J14,'Dish Input'!J40,'Dish Input'!J66,'Dish Input'!J92,'Dish Input'!J118),0))</f>
        <v>0.36</v>
      </c>
      <c r="H27" s="7"/>
      <c r="I27" s="7"/>
      <c r="J27" s="7"/>
    </row>
    <row r="28" spans="1:10" ht="15" x14ac:dyDescent="0.25">
      <c r="A28" s="2"/>
      <c r="B28" s="2"/>
      <c r="C28" s="4"/>
      <c r="E28" s="103" t="str">
        <f>IFERROR(IF(CHOOSE($G$24,'Dish Input'!E15,'Dish Input'!E41,'Dish Input'!E67,'Dish Input'!E93,'Dish Input'!E119)=0,"",CHOOSE($G$24,'Dish Input'!E15,'Dish Input'!E41,'Dish Input'!E67,'Dish Input'!E93,'Dish Input'!E119)),"")</f>
        <v>Avocado</v>
      </c>
      <c r="F28" s="104">
        <f>IF(E28="","",IFERROR(CHOOSE($G$24,'Dish Input'!J15,'Dish Input'!J41,'Dish Input'!J67,'Dish Input'!J93,'Dish Input'!J119)/CHOOSE($G$24,'Dish Input'!F10,'Dish Input'!F36,'Dish Input'!F62,'Dish Input'!F88,'Dish Input'!F114),0))</f>
        <v>5.2424849699398805E-2</v>
      </c>
      <c r="G28" s="105">
        <f>IF(E28="","",IFERROR(CHOOSE($G$24,'Dish Input'!J15,'Dish Input'!J41,'Dish Input'!J67,'Dish Input'!J93,'Dish Input'!J119),0))</f>
        <v>1.2</v>
      </c>
      <c r="H28" s="7"/>
      <c r="I28" s="7"/>
      <c r="J28" s="7"/>
    </row>
    <row r="29" spans="1:10" ht="15" x14ac:dyDescent="0.25">
      <c r="A29" s="2"/>
      <c r="B29" s="2"/>
      <c r="C29" s="4"/>
      <c r="E29" s="103" t="str">
        <f>IFERROR(IF(CHOOSE($G$24,'Dish Input'!E16,'Dish Input'!E42,'Dish Input'!E68,'Dish Input'!E94,'Dish Input'!E120)=0,"",CHOOSE($G$24,'Dish Input'!E16,'Dish Input'!E42,'Dish Input'!E68,'Dish Input'!E94,'Dish Input'!E120)),"")</f>
        <v>Edamame</v>
      </c>
      <c r="F29" s="104">
        <f>IF(E29="","",IFERROR(CHOOSE($G$24,'Dish Input'!J16,'Dish Input'!J42,'Dish Input'!J68,'Dish Input'!J94,'Dish Input'!J120)/CHOOSE($G$24,'Dish Input'!F10,'Dish Input'!F36,'Dish Input'!F62,'Dish Input'!F88,'Dish Input'!F114),0))</f>
        <v>1.7474949899799603E-2</v>
      </c>
      <c r="G29" s="105">
        <f>IF(E29="","",IFERROR(CHOOSE($G$24,'Dish Input'!J16,'Dish Input'!J42,'Dish Input'!J68,'Dish Input'!J94,'Dish Input'!J120),0))</f>
        <v>0.4</v>
      </c>
      <c r="H29" s="7"/>
      <c r="I29" s="7"/>
      <c r="J29" s="7"/>
    </row>
    <row r="30" spans="1:10" ht="15" x14ac:dyDescent="0.25">
      <c r="A30" s="2"/>
      <c r="B30" s="2"/>
      <c r="C30" s="4"/>
      <c r="E30" s="103" t="str">
        <f>IFERROR(IF(CHOOSE($G$24,'Dish Input'!E17,'Dish Input'!E43,'Dish Input'!E69,'Dish Input'!E95,'Dish Input'!E121)=0,"",CHOOSE($G$24,'Dish Input'!E17,'Dish Input'!E43,'Dish Input'!E69,'Dish Input'!E95,'Dish Input'!E121)),"")</f>
        <v>Sesame dressing</v>
      </c>
      <c r="F30" s="104">
        <f>IF(E30="","",IFERROR(CHOOSE($G$24,'Dish Input'!J17,'Dish Input'!J43,'Dish Input'!J69,'Dish Input'!J95,'Dish Input'!J121)/CHOOSE($G$24,'Dish Input'!F10,'Dish Input'!F36,'Dish Input'!F62,'Dish Input'!F88,'Dish Input'!F114),0))</f>
        <v>1.5727454909819642E-2</v>
      </c>
      <c r="G30" s="105">
        <f>IF(E30="","",IFERROR(CHOOSE($G$24,'Dish Input'!J17,'Dish Input'!J43,'Dish Input'!J69,'Dish Input'!J95,'Dish Input'!J121),0))</f>
        <v>0.36</v>
      </c>
      <c r="H30" s="7"/>
      <c r="I30" s="7"/>
      <c r="J30" s="7"/>
    </row>
    <row r="31" spans="1:10" ht="15" x14ac:dyDescent="0.25">
      <c r="A31" s="2"/>
      <c r="B31" s="2"/>
      <c r="C31" s="4"/>
      <c r="E31" s="103" t="str">
        <f>IFERROR(IF(CHOOSE($G$24,'Dish Input'!E18,'Dish Input'!E44,'Dish Input'!E70,'Dish Input'!E96,'Dish Input'!E122)=0,"",CHOOSE($G$24,'Dish Input'!E18,'Dish Input'!E44,'Dish Input'!E70,'Dish Input'!E96,'Dish Input'!E122)),"")</f>
        <v>Spring onion</v>
      </c>
      <c r="F31" s="104">
        <f>IF(E31="","",IFERROR(CHOOSE($G$24,'Dish Input'!J18,'Dish Input'!J44,'Dish Input'!J70,'Dish Input'!J96,'Dish Input'!J122)/CHOOSE($G$24,'Dish Input'!F10,'Dish Input'!F36,'Dish Input'!F62,'Dish Input'!F88,'Dish Input'!F114),0))</f>
        <v>2.6212424849699403E-3</v>
      </c>
      <c r="G31" s="105">
        <f>IF(E31="","",IFERROR(CHOOSE($G$24,'Dish Input'!J18,'Dish Input'!J44,'Dish Input'!J70,'Dish Input'!J96,'Dish Input'!J122),0))</f>
        <v>0.06</v>
      </c>
      <c r="H31" s="7"/>
      <c r="I31" s="7"/>
      <c r="J31" s="7"/>
    </row>
    <row r="32" spans="1:10" ht="15" x14ac:dyDescent="0.25">
      <c r="A32" s="2"/>
      <c r="B32" s="2"/>
      <c r="C32" s="4"/>
      <c r="E32" s="103" t="str">
        <f>IFERROR(IF(CHOOSE($G$24,'Dish Input'!E19,'Dish Input'!E45,'Dish Input'!E71,'Dish Input'!E97,'Dish Input'!E123)=0,"",CHOOSE($G$24,'Dish Input'!E19,'Dish Input'!E45,'Dish Input'!E71,'Dish Input'!E97,'Dish Input'!E123)),"")</f>
        <v>Sesame seeds</v>
      </c>
      <c r="F32" s="104">
        <f>IF(E32="","",IFERROR(CHOOSE($G$24,'Dish Input'!J19,'Dish Input'!J45,'Dish Input'!J71,'Dish Input'!J97,'Dish Input'!J123)/CHOOSE($G$24,'Dish Input'!F10,'Dish Input'!F36,'Dish Input'!F62,'Dish Input'!F88,'Dish Input'!F114),0))</f>
        <v>5.4609218436873757E-3</v>
      </c>
      <c r="G32" s="105">
        <f>IF(E32="","",IFERROR(CHOOSE($G$24,'Dish Input'!J19,'Dish Input'!J45,'Dish Input'!J71,'Dish Input'!J97,'Dish Input'!J123),0))</f>
        <v>0.125</v>
      </c>
      <c r="H32" s="7"/>
      <c r="I32" s="7"/>
      <c r="J32" s="7"/>
    </row>
    <row r="33" spans="1:10" ht="15" x14ac:dyDescent="0.25">
      <c r="A33" s="2"/>
      <c r="B33" s="2"/>
      <c r="C33" s="4"/>
      <c r="E33" s="103" t="str">
        <f>IFERROR(IF(CHOOSE($G$24,'Dish Input'!E20,'Dish Input'!E46,'Dish Input'!E72,'Dish Input'!E98,'Dish Input'!E124)=0,"",CHOOSE($G$24,'Dish Input'!E20,'Dish Input'!E46,'Dish Input'!E72,'Dish Input'!E98,'Dish Input'!E124)),"")</f>
        <v>Lime wedge</v>
      </c>
      <c r="F33" s="104">
        <f>IF(E33="","",IFERROR(CHOOSE($G$24,'Dish Input'!J20,'Dish Input'!J46,'Dish Input'!J72,'Dish Input'!J98,'Dish Input'!J124)/CHOOSE($G$24,'Dish Input'!F10,'Dish Input'!F36,'Dish Input'!F62,'Dish Input'!F88,'Dish Input'!F114),0))</f>
        <v>6.5531062124248507E-3</v>
      </c>
      <c r="G33" s="105">
        <f>IF(E33="","",IFERROR(CHOOSE($G$24,'Dish Input'!J20,'Dish Input'!J46,'Dish Input'!J72,'Dish Input'!J98,'Dish Input'!J124),0))</f>
        <v>0.15</v>
      </c>
      <c r="H33" s="7"/>
      <c r="I33" s="7"/>
      <c r="J33" s="7"/>
    </row>
    <row r="34" spans="1:10" ht="15" x14ac:dyDescent="0.25">
      <c r="A34" s="2"/>
      <c r="B34" s="2"/>
      <c r="C34" s="4"/>
      <c r="E34" s="103" t="str">
        <f>IFERROR(IF(CHOOSE($G$24,'Dish Input'!E21,'Dish Input'!E47,'Dish Input'!E73,'Dish Input'!E99,'Dish Input'!E125)=0,"",CHOOSE($G$24,'Dish Input'!E21,'Dish Input'!E47,'Dish Input'!E73,'Dish Input'!E99,'Dish Input'!E125)),"")</f>
        <v>Soy sauce</v>
      </c>
      <c r="F34" s="104">
        <f>IF(E34="","",IFERROR(CHOOSE($G$24,'Dish Input'!J21,'Dish Input'!J47,'Dish Input'!J73,'Dish Input'!J99,'Dish Input'!J125)/CHOOSE($G$24,'Dish Input'!F10,'Dish Input'!F36,'Dish Input'!F62,'Dish Input'!F88,'Dish Input'!F114),0))</f>
        <v>2.6212424849699403E-3</v>
      </c>
      <c r="G34" s="105">
        <f>IF(E34="","",IFERROR(CHOOSE($G$24,'Dish Input'!J21,'Dish Input'!J47,'Dish Input'!J73,'Dish Input'!J99,'Dish Input'!J125),0))</f>
        <v>0.06</v>
      </c>
      <c r="H34" s="7"/>
      <c r="I34" s="7"/>
      <c r="J34" s="7"/>
    </row>
    <row r="35" spans="1:10" ht="15" x14ac:dyDescent="0.25">
      <c r="A35" s="2"/>
      <c r="B35" s="2"/>
      <c r="C35" s="4"/>
      <c r="E35" s="103" t="str">
        <f>IFERROR(IF(CHOOSE($G$24,'Dish Input'!E22,'Dish Input'!E48,'Dish Input'!E74,'Dish Input'!E100,'Dish Input'!E126)=0,"",CHOOSE($G$24,'Dish Input'!E22,'Dish Input'!E48,'Dish Input'!E74,'Dish Input'!E100,'Dish Input'!E126)),"")</f>
        <v>Pickled ginger</v>
      </c>
      <c r="F35" s="104">
        <f>IF(E35="","",IFERROR(CHOOSE($G$24,'Dish Input'!J22,'Dish Input'!J48,'Dish Input'!J74,'Dish Input'!J100,'Dish Input'!J126)/CHOOSE($G$24,'Dish Input'!F10,'Dish Input'!F36,'Dish Input'!F62,'Dish Input'!F88,'Dish Input'!F114),0))</f>
        <v>5.2424849699398805E-3</v>
      </c>
      <c r="G35" s="105">
        <f>IF(E35="","",IFERROR(CHOOSE($G$24,'Dish Input'!J22,'Dish Input'!J48,'Dish Input'!J74,'Dish Input'!J100,'Dish Input'!J126),0))</f>
        <v>0.12</v>
      </c>
      <c r="H35" s="7"/>
      <c r="I35" s="7"/>
      <c r="J35" s="7"/>
    </row>
    <row r="36" spans="1:10" ht="15" x14ac:dyDescent="0.25">
      <c r="A36" s="2"/>
      <c r="B36" s="2"/>
      <c r="C36" s="4"/>
      <c r="E36" s="103" t="str">
        <f>IFERROR(IF(CHOOSE($G$24,'Dish Input'!E23,'Dish Input'!E49,'Dish Input'!E75,'Dish Input'!E101,'Dish Input'!E127)=0,"",CHOOSE($G$24,'Dish Input'!E23,'Dish Input'!E49,'Dish Input'!E75,'Dish Input'!E101,'Dish Input'!E127)),"")</f>
        <v/>
      </c>
      <c r="F36" s="104" t="str">
        <f>IF(E36="","",IFERROR(CHOOSE($G$24,'Dish Input'!J23,'Dish Input'!J49,'Dish Input'!J75,'Dish Input'!J101,'Dish Input'!J127)/CHOOSE($G$24,'Dish Input'!F10,'Dish Input'!F36,'Dish Input'!F62,'Dish Input'!F88,'Dish Input'!F114),0))</f>
        <v/>
      </c>
      <c r="G36" s="105" t="str">
        <f>IF(E36="","",IFERROR(CHOOSE($G$24,'Dish Input'!J23,'Dish Input'!J49,'Dish Input'!J75,'Dish Input'!J101,'Dish Input'!J127),0))</f>
        <v/>
      </c>
      <c r="H36" s="7"/>
      <c r="I36" s="7"/>
      <c r="J36" s="7"/>
    </row>
    <row r="37" spans="1:10" ht="15" x14ac:dyDescent="0.25">
      <c r="A37" s="2"/>
      <c r="B37" s="2"/>
      <c r="C37" s="4"/>
      <c r="E37" s="103" t="str">
        <f>IFERROR(IF(CHOOSE($G$24,'Dish Input'!E24,'Dish Input'!E50,'Dish Input'!E76,'Dish Input'!E102,'Dish Input'!E128)=0,"",CHOOSE($G$24,'Dish Input'!E24,'Dish Input'!E50,'Dish Input'!E76,'Dish Input'!E102,'Dish Input'!E128)),"")</f>
        <v/>
      </c>
      <c r="F37" s="104" t="str">
        <f>IF(E37="","",IFERROR(CHOOSE($G$24,'Dish Input'!J24,'Dish Input'!J50,'Dish Input'!J76,'Dish Input'!J102,'Dish Input'!J128)/CHOOSE($G$24,'Dish Input'!F10,'Dish Input'!F36,'Dish Input'!F62,'Dish Input'!F88,'Dish Input'!F114),0))</f>
        <v/>
      </c>
      <c r="G37" s="105" t="str">
        <f>IF(E37="","",IFERROR(CHOOSE($G$24,'Dish Input'!J24,'Dish Input'!J50,'Dish Input'!J76,'Dish Input'!J102,'Dish Input'!J128),0))</f>
        <v/>
      </c>
      <c r="H37" s="7"/>
      <c r="I37" s="7"/>
      <c r="J37" s="7"/>
    </row>
    <row r="38" spans="1:10" ht="15" x14ac:dyDescent="0.25">
      <c r="A38" s="2"/>
      <c r="B38" s="2"/>
      <c r="C38" s="4"/>
      <c r="E38" s="39" t="s">
        <v>15</v>
      </c>
      <c r="F38" s="106">
        <f>IFERROR(CHOOSE($G$24,'Dish Input'!J28,'Dish Input'!J54,'Dish Input'!J80,'Dish Input'!J106,'Dish Input'!J132)/CHOOSE($G$24,'Dish Input'!F10,'Dish Input'!F36,'Dish Input'!F62,'Dish Input'!F88,'Dish Input'!F114),0)</f>
        <v>0.79750901803607221</v>
      </c>
      <c r="G38" s="107">
        <f>IFERROR(CHOOSE($G$24,'Dish Input'!J28,'Dish Input'!J54,'Dish Input'!J80,'Dish Input'!J106,'Dish Input'!J132),0)</f>
        <v>18.254908256880732</v>
      </c>
      <c r="H38" s="7"/>
      <c r="I38" s="7"/>
      <c r="J38" s="7"/>
    </row>
    <row r="39" spans="1:10" x14ac:dyDescent="0.2">
      <c r="A39" s="2"/>
      <c r="B39" s="2"/>
      <c r="C39" s="4"/>
    </row>
    <row r="40" spans="1:10" x14ac:dyDescent="0.2">
      <c r="A40" s="2"/>
      <c r="B40" s="2"/>
      <c r="C40" s="4"/>
    </row>
    <row r="41" spans="1:10" x14ac:dyDescent="0.2">
      <c r="A41" s="2"/>
      <c r="B41" s="2"/>
      <c r="C41" s="4"/>
    </row>
    <row r="42" spans="1:10" x14ac:dyDescent="0.2">
      <c r="A42" s="2"/>
      <c r="B42" s="2"/>
      <c r="C42" s="4"/>
    </row>
    <row r="43" spans="1:10" x14ac:dyDescent="0.2">
      <c r="A43" s="2"/>
      <c r="B43" s="2"/>
      <c r="C43" s="4"/>
    </row>
    <row r="44" spans="1:10" x14ac:dyDescent="0.2">
      <c r="A44" s="2"/>
      <c r="B44" s="2"/>
      <c r="C44" s="4"/>
    </row>
    <row r="45" spans="1:10" x14ac:dyDescent="0.2">
      <c r="A45" s="2"/>
      <c r="B45" s="2"/>
      <c r="C45" s="4"/>
    </row>
    <row r="46" spans="1:10" x14ac:dyDescent="0.2">
      <c r="A46" s="2"/>
      <c r="B46" s="2"/>
      <c r="C46" s="4"/>
    </row>
    <row r="47" spans="1:10" x14ac:dyDescent="0.2">
      <c r="A47" s="2"/>
      <c r="B47" s="2"/>
      <c r="C47" s="4"/>
    </row>
    <row r="48" spans="1:10" x14ac:dyDescent="0.2">
      <c r="A48" s="2"/>
      <c r="B48" s="2"/>
      <c r="C48" s="4"/>
    </row>
    <row r="49" spans="1:3" x14ac:dyDescent="0.2">
      <c r="A49" s="2"/>
      <c r="B49" s="2"/>
      <c r="C49" s="4"/>
    </row>
    <row r="50" spans="1:3" x14ac:dyDescent="0.2">
      <c r="A50" s="2"/>
      <c r="B50" s="2"/>
      <c r="C50" s="4"/>
    </row>
    <row r="51" spans="1:3" x14ac:dyDescent="0.2">
      <c r="A51" s="2"/>
      <c r="B51" s="2"/>
      <c r="C51" s="4"/>
    </row>
    <row r="52" spans="1:3" x14ac:dyDescent="0.2">
      <c r="A52" s="2"/>
      <c r="B52" s="2"/>
      <c r="C52" s="4"/>
    </row>
    <row r="53" spans="1:3" x14ac:dyDescent="0.2">
      <c r="A53" s="2"/>
      <c r="B53" s="2"/>
      <c r="C53" s="4"/>
    </row>
    <row r="54" spans="1:3" x14ac:dyDescent="0.2">
      <c r="A54" s="2"/>
      <c r="B54" s="2"/>
      <c r="C54" s="4"/>
    </row>
    <row r="55" spans="1:3" x14ac:dyDescent="0.2">
      <c r="A55" s="2"/>
      <c r="B55" s="2"/>
      <c r="C55" s="4"/>
    </row>
    <row r="56" spans="1:3" x14ac:dyDescent="0.2">
      <c r="A56" s="2"/>
      <c r="B56" s="2"/>
      <c r="C56" s="4"/>
    </row>
    <row r="57" spans="1:3" x14ac:dyDescent="0.2">
      <c r="A57" s="2"/>
      <c r="B57" s="2"/>
      <c r="C57" s="4"/>
    </row>
    <row r="58" spans="1:3" x14ac:dyDescent="0.2">
      <c r="A58" s="2"/>
      <c r="B58" s="2"/>
      <c r="C58" s="4"/>
    </row>
    <row r="59" spans="1:3" x14ac:dyDescent="0.2">
      <c r="A59" s="2"/>
      <c r="B59" s="2"/>
      <c r="C59" s="4"/>
    </row>
    <row r="60" spans="1:3" x14ac:dyDescent="0.2">
      <c r="A60" s="2"/>
      <c r="B60" s="2"/>
      <c r="C60" s="4"/>
    </row>
    <row r="61" spans="1:3" x14ac:dyDescent="0.2">
      <c r="A61" s="2"/>
      <c r="B61" s="2"/>
      <c r="C61" s="4"/>
    </row>
    <row r="62" spans="1:3" x14ac:dyDescent="0.2">
      <c r="A62" s="2"/>
      <c r="B62" s="2"/>
      <c r="C62" s="4"/>
    </row>
    <row r="63" spans="1:3" x14ac:dyDescent="0.2">
      <c r="A63" s="2"/>
      <c r="B63" s="2"/>
      <c r="C63" s="4"/>
    </row>
    <row r="64" spans="1:3" x14ac:dyDescent="0.2">
      <c r="A64" s="2"/>
      <c r="B64" s="2"/>
      <c r="C64" s="4"/>
    </row>
    <row r="65" spans="1:3" x14ac:dyDescent="0.2">
      <c r="A65" s="2"/>
      <c r="B65" s="2"/>
      <c r="C65" s="4"/>
    </row>
    <row r="66" spans="1:3" x14ac:dyDescent="0.2">
      <c r="A66" s="2"/>
      <c r="B66" s="2"/>
      <c r="C66" s="4"/>
    </row>
    <row r="67" spans="1:3" x14ac:dyDescent="0.2">
      <c r="A67" s="2"/>
      <c r="B67" s="2"/>
      <c r="C67" s="4"/>
    </row>
    <row r="68" spans="1:3" x14ac:dyDescent="0.2">
      <c r="A68" s="2"/>
      <c r="B68" s="2"/>
      <c r="C68" s="4"/>
    </row>
    <row r="69" spans="1:3" x14ac:dyDescent="0.2">
      <c r="A69" s="2"/>
      <c r="B69" s="2"/>
      <c r="C69" s="4"/>
    </row>
    <row r="70" spans="1:3" x14ac:dyDescent="0.2">
      <c r="A70" s="2"/>
      <c r="B70" s="2"/>
      <c r="C70" s="4"/>
    </row>
    <row r="71" spans="1:3" x14ac:dyDescent="0.2">
      <c r="A71" s="2"/>
      <c r="B71" s="2"/>
      <c r="C71" s="4"/>
    </row>
    <row r="72" spans="1:3" x14ac:dyDescent="0.2">
      <c r="A72" s="2"/>
      <c r="B72" s="2"/>
      <c r="C72" s="4"/>
    </row>
    <row r="73" spans="1:3" x14ac:dyDescent="0.2">
      <c r="A73" s="2"/>
      <c r="B73" s="2"/>
      <c r="C73" s="4"/>
    </row>
    <row r="74" spans="1:3" x14ac:dyDescent="0.2">
      <c r="A74" s="2"/>
      <c r="B74" s="2"/>
      <c r="C74" s="4"/>
    </row>
    <row r="75" spans="1:3" x14ac:dyDescent="0.2">
      <c r="A75" s="2"/>
      <c r="B75" s="2"/>
      <c r="C75" s="4"/>
    </row>
    <row r="76" spans="1:3" x14ac:dyDescent="0.2">
      <c r="A76" s="2"/>
      <c r="B76" s="2"/>
      <c r="C76" s="4"/>
    </row>
    <row r="77" spans="1:3" x14ac:dyDescent="0.2">
      <c r="A77" s="2"/>
      <c r="B77" s="2"/>
      <c r="C77" s="4"/>
    </row>
    <row r="78" spans="1:3" x14ac:dyDescent="0.2">
      <c r="A78" s="2"/>
      <c r="B78" s="2"/>
      <c r="C78" s="4"/>
    </row>
    <row r="79" spans="1:3" x14ac:dyDescent="0.2">
      <c r="A79" s="2"/>
      <c r="B79" s="2"/>
      <c r="C79" s="4"/>
    </row>
    <row r="80" spans="1:3" x14ac:dyDescent="0.2">
      <c r="A80" s="2"/>
      <c r="B80" s="2"/>
      <c r="C80" s="4"/>
    </row>
    <row r="81" spans="1:3" x14ac:dyDescent="0.2">
      <c r="A81" s="2"/>
      <c r="B81" s="2"/>
      <c r="C81" s="4"/>
    </row>
    <row r="82" spans="1:3" x14ac:dyDescent="0.2">
      <c r="A82" s="2"/>
      <c r="B82" s="2"/>
      <c r="C82" s="4"/>
    </row>
    <row r="83" spans="1:3" x14ac:dyDescent="0.2">
      <c r="A83" s="2"/>
      <c r="B83" s="2"/>
      <c r="C83" s="4"/>
    </row>
    <row r="84" spans="1:3" x14ac:dyDescent="0.2">
      <c r="A84" s="2"/>
      <c r="B84" s="2"/>
      <c r="C84" s="4"/>
    </row>
    <row r="85" spans="1:3" x14ac:dyDescent="0.2">
      <c r="A85" s="2"/>
      <c r="B85" s="2"/>
      <c r="C85" s="4"/>
    </row>
    <row r="86" spans="1:3" x14ac:dyDescent="0.2">
      <c r="A86" s="2"/>
      <c r="B86" s="2"/>
      <c r="C86" s="4"/>
    </row>
    <row r="87" spans="1:3" x14ac:dyDescent="0.2">
      <c r="A87" s="2"/>
      <c r="B87" s="2"/>
      <c r="C87" s="4"/>
    </row>
    <row r="88" spans="1:3" x14ac:dyDescent="0.2">
      <c r="A88" s="2"/>
      <c r="B88" s="2"/>
      <c r="C88" s="4"/>
    </row>
    <row r="89" spans="1:3" x14ac:dyDescent="0.2">
      <c r="A89" s="2"/>
      <c r="B89" s="2"/>
      <c r="C89" s="4"/>
    </row>
  </sheetData>
  <sheetProtection algorithmName="SHA-512" hashValue="H29hy2fEiZKJ+5ty9U/I83gdNpkl3fs/tEMtR/2GqsdKLZNdW5XwX5Fhxps7ghzjkv+YElCAF9QvEXWdiwA+wA==" saltValue="Hg5YTRZvj8LrblrQG/3uCQ==" spinCount="100000" sheet="1" objects="1" scenarios="1"/>
  <conditionalFormatting sqref="J11:J15">
    <cfRule type="containsText" dxfId="2" priority="1" operator="containsText" text="On Target">
      <formula>NOT(ISERROR(SEARCH("On Target",J11)))</formula>
    </cfRule>
  </conditionalFormatting>
  <conditionalFormatting sqref="J11:J15">
    <cfRule type="containsText" dxfId="1" priority="2" operator="containsText" text="Watch">
      <formula>NOT(ISERROR(SEARCH("Watch",J11)))</formula>
    </cfRule>
  </conditionalFormatting>
  <conditionalFormatting sqref="J11:J15">
    <cfRule type="containsText" dxfId="0" priority="3" operator="containsText" text="Over">
      <formula>NOT(ISERROR(SEARCH("Over",J11)))</formula>
    </cfRule>
  </conditionalFormatting>
  <dataValidations count="1">
    <dataValidation type="list" allowBlank="1" showInputMessage="1" showErrorMessage="1" sqref="F24" xr:uid="{0A9A9D06-EE9D-4328-8742-825DA1307720}">
      <formula1>$E$11:$E$15</formula1>
    </dataValidation>
  </dataValidations>
  <hyperlinks>
    <hyperlink ref="B3" location="Dashboard!E1" tooltip="Go to Dashboard" display="Dashboard!E1" xr:uid="{26D47AF9-A47F-493A-9A9F-0F627AEF0E16}"/>
    <hyperlink ref="B4" location="'Dish Input'!E1" tooltip="Go to Dish Input" display="'Dish Input'!E1" xr:uid="{AA9F2DC8-AC4A-4DDF-8E7C-996E5E58C6FF}"/>
    <hyperlink ref="B5" location="Notes!E1" tooltip="Go to Notes" display="Notes!E1" xr:uid="{196C1E20-8BD5-48F7-8F48-B92283A38680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0E918-D967-424F-BD1F-F9112AD05E61}">
  <dimension ref="A1:L256"/>
  <sheetViews>
    <sheetView showGridLines="0" workbookViewId="0">
      <pane ySplit="5" topLeftCell="A6" activePane="bottomLeft" state="frozen"/>
      <selection pane="bottomLeft" activeCell="L21" sqref="L21"/>
    </sheetView>
  </sheetViews>
  <sheetFormatPr defaultRowHeight="15" x14ac:dyDescent="0.25"/>
  <cols>
    <col min="1" max="1" width="1.28515625" style="5" customWidth="1"/>
    <col min="2" max="2" width="31.42578125" style="5" customWidth="1"/>
    <col min="3" max="3" width="1.85546875" style="5" customWidth="1"/>
    <col min="4" max="4" width="1.5703125" style="5" customWidth="1"/>
    <col min="5" max="5" width="22.85546875" style="5" customWidth="1"/>
    <col min="6" max="6" width="11.42578125" style="5" customWidth="1"/>
    <col min="7" max="7" width="8.5703125" style="5" customWidth="1"/>
    <col min="8" max="8" width="16.140625" style="5" customWidth="1"/>
    <col min="9" max="9" width="11.42578125" style="5" customWidth="1"/>
    <col min="10" max="10" width="20" style="5" customWidth="1"/>
    <col min="11" max="11" width="19" style="7" customWidth="1"/>
    <col min="12" max="12" width="11.42578125" style="7" customWidth="1"/>
    <col min="13" max="16384" width="9.140625" style="5"/>
  </cols>
  <sheetData>
    <row r="1" spans="1:10" ht="36" customHeight="1" x14ac:dyDescent="0.3">
      <c r="A1" s="2"/>
      <c r="B1" s="3"/>
      <c r="C1" s="4"/>
      <c r="E1" s="6" t="s">
        <v>0</v>
      </c>
    </row>
    <row r="2" spans="1:10" ht="18" customHeight="1" x14ac:dyDescent="0.25">
      <c r="A2" s="2"/>
      <c r="B2" s="8" t="s">
        <v>1</v>
      </c>
      <c r="C2" s="4"/>
      <c r="E2" s="9" t="s">
        <v>87</v>
      </c>
    </row>
    <row r="3" spans="1:10" ht="24.95" customHeight="1" x14ac:dyDescent="0.35">
      <c r="A3" s="2"/>
      <c r="B3" s="10" t="s">
        <v>2</v>
      </c>
      <c r="C3" s="4"/>
      <c r="E3" s="11" t="s">
        <v>84</v>
      </c>
      <c r="F3" s="61" t="s">
        <v>86</v>
      </c>
    </row>
    <row r="4" spans="1:10" ht="21.95" customHeight="1" x14ac:dyDescent="0.35">
      <c r="A4" s="4"/>
      <c r="B4" s="12" t="s">
        <v>3</v>
      </c>
      <c r="C4" s="4"/>
      <c r="E4" s="11"/>
      <c r="F4" s="13"/>
    </row>
    <row r="5" spans="1:10" ht="21.95" customHeight="1" x14ac:dyDescent="0.25">
      <c r="A5" s="2"/>
      <c r="B5" s="10" t="s">
        <v>4</v>
      </c>
      <c r="C5" s="4"/>
      <c r="E5" s="7"/>
      <c r="F5" s="7"/>
      <c r="G5" s="7"/>
      <c r="H5" s="7"/>
      <c r="I5" s="7"/>
      <c r="J5" s="7"/>
    </row>
    <row r="6" spans="1:10" ht="21.95" customHeight="1" x14ac:dyDescent="0.25">
      <c r="A6" s="2"/>
      <c r="B6" s="2"/>
      <c r="C6" s="4"/>
      <c r="E6" s="14" t="s">
        <v>5</v>
      </c>
      <c r="F6" s="14"/>
      <c r="G6" s="14"/>
      <c r="H6" s="14"/>
      <c r="I6" s="14"/>
      <c r="J6" s="14"/>
    </row>
    <row r="7" spans="1:10" x14ac:dyDescent="0.25">
      <c r="A7" s="2"/>
      <c r="B7" s="2"/>
      <c r="C7" s="4"/>
      <c r="E7" s="15" t="s">
        <v>6</v>
      </c>
      <c r="F7" s="62" t="s">
        <v>57</v>
      </c>
      <c r="G7" s="62"/>
      <c r="H7" s="62"/>
      <c r="I7" s="16"/>
      <c r="J7" s="16"/>
    </row>
    <row r="8" spans="1:10" x14ac:dyDescent="0.25">
      <c r="A8" s="2"/>
      <c r="B8" s="2"/>
      <c r="C8" s="4"/>
      <c r="E8" s="15" t="s">
        <v>7</v>
      </c>
      <c r="F8" s="63">
        <v>24.95</v>
      </c>
      <c r="G8" s="17"/>
      <c r="H8" s="17"/>
      <c r="I8" s="17"/>
      <c r="J8" s="17"/>
    </row>
    <row r="9" spans="1:10" ht="15.75" thickBot="1" x14ac:dyDescent="0.3">
      <c r="A9" s="2"/>
      <c r="B9" s="2"/>
      <c r="C9" s="4"/>
      <c r="E9" s="18" t="s">
        <v>8</v>
      </c>
      <c r="F9" s="64">
        <v>0.09</v>
      </c>
      <c r="G9" s="17"/>
      <c r="H9" s="17"/>
      <c r="I9" s="17"/>
      <c r="J9" s="17"/>
    </row>
    <row r="10" spans="1:10" ht="15.75" thickTop="1" x14ac:dyDescent="0.25">
      <c r="A10" s="2"/>
      <c r="B10" s="2"/>
      <c r="C10" s="4"/>
      <c r="E10" s="19" t="s">
        <v>9</v>
      </c>
      <c r="F10" s="20">
        <f>IFERROR(F8/(1+F9),0)</f>
        <v>22.88990825688073</v>
      </c>
      <c r="G10" s="17"/>
      <c r="H10" s="17"/>
      <c r="I10" s="17"/>
      <c r="J10" s="17"/>
    </row>
    <row r="11" spans="1:10" x14ac:dyDescent="0.25">
      <c r="A11" s="2"/>
      <c r="B11" s="2"/>
      <c r="C11" s="4"/>
      <c r="E11" s="17"/>
      <c r="F11" s="7"/>
      <c r="G11" s="7"/>
      <c r="H11" s="7"/>
      <c r="I11" s="7"/>
      <c r="J11" s="7"/>
    </row>
    <row r="12" spans="1:10" x14ac:dyDescent="0.25">
      <c r="A12" s="2"/>
      <c r="B12" s="2"/>
      <c r="C12" s="4"/>
      <c r="E12" s="21" t="s">
        <v>10</v>
      </c>
      <c r="F12" s="22" t="s">
        <v>11</v>
      </c>
      <c r="G12" s="22" t="s">
        <v>12</v>
      </c>
      <c r="H12" s="22" t="str">
        <f>"Cost / Bulk ("&amp;$F$3&amp;")"</f>
        <v>Cost / Bulk (CHF)</v>
      </c>
      <c r="I12" s="22" t="s">
        <v>85</v>
      </c>
      <c r="J12" s="23" t="str">
        <f>"Cost / Portion ("&amp;$F$3&amp;")"</f>
        <v>Cost / Portion (CHF)</v>
      </c>
    </row>
    <row r="13" spans="1:10" x14ac:dyDescent="0.25">
      <c r="A13" s="2"/>
      <c r="B13" s="2"/>
      <c r="C13" s="4"/>
      <c r="E13" s="65" t="s">
        <v>58</v>
      </c>
      <c r="F13" s="67">
        <v>180</v>
      </c>
      <c r="G13" s="69" t="s">
        <v>59</v>
      </c>
      <c r="H13" s="67">
        <v>10</v>
      </c>
      <c r="I13" s="24" t="str">
        <f>IF(G13="","",IF(G13="g","per kg",IF(G13="ml","per L",IF(G13="oz","per lb",IF(G13="kg","per kg",IF(G13="L","per L",IF(G13="lb","per lb",IF(G13="fl oz","per fl oz","per unit"))))))))</f>
        <v>per kg</v>
      </c>
      <c r="J13" s="25">
        <f>IF(F13="","",IF(OR(G13="g",G13="ml"),H13/1000*F13,IF(G13="oz",H13/16*F13,H13*F13)))</f>
        <v>1.8</v>
      </c>
    </row>
    <row r="14" spans="1:10" x14ac:dyDescent="0.25">
      <c r="A14" s="2"/>
      <c r="B14" s="2"/>
      <c r="C14" s="4"/>
      <c r="E14" s="65" t="s">
        <v>60</v>
      </c>
      <c r="F14" s="67">
        <v>120</v>
      </c>
      <c r="G14" s="69" t="s">
        <v>59</v>
      </c>
      <c r="H14" s="67">
        <v>3</v>
      </c>
      <c r="I14" s="24" t="str">
        <f>IF(G14="","",IF(G14="g","per kg",IF(G14="ml","per L",IF(G14="oz","per lb",IF(G14="kg","per kg",IF(G14="L","per L",IF(G14="lb","per lb",IF(G14="fl oz","per fl oz","per unit"))))))))</f>
        <v>per kg</v>
      </c>
      <c r="J14" s="25">
        <f t="shared" ref="J14:J24" si="0">IF(F14="","",IF(OR(G14="g",G14="ml"),H14/1000*F14,IF(G14="oz",H14/16*F14,H14*F14)))</f>
        <v>0.36</v>
      </c>
    </row>
    <row r="15" spans="1:10" x14ac:dyDescent="0.25">
      <c r="A15" s="2"/>
      <c r="B15" s="2"/>
      <c r="C15" s="4"/>
      <c r="E15" s="65" t="s">
        <v>61</v>
      </c>
      <c r="F15" s="67">
        <v>80</v>
      </c>
      <c r="G15" s="69" t="s">
        <v>59</v>
      </c>
      <c r="H15" s="67">
        <v>15</v>
      </c>
      <c r="I15" s="24" t="str">
        <f>IF(G15="","",IF(G15="g","per kg",IF(G15="ml","per L",IF(G15="oz","per lb",IF(G15="kg","per kg",IF(G15="L","per L",IF(G15="lb","per lb",IF(G15="fl oz","per fl oz","per unit"))))))))</f>
        <v>per kg</v>
      </c>
      <c r="J15" s="25">
        <f t="shared" si="0"/>
        <v>1.2</v>
      </c>
    </row>
    <row r="16" spans="1:10" x14ac:dyDescent="0.25">
      <c r="A16" s="2"/>
      <c r="B16" s="2"/>
      <c r="C16" s="4"/>
      <c r="E16" s="65" t="s">
        <v>62</v>
      </c>
      <c r="F16" s="67">
        <v>50</v>
      </c>
      <c r="G16" s="69" t="s">
        <v>59</v>
      </c>
      <c r="H16" s="67">
        <v>8</v>
      </c>
      <c r="I16" s="24" t="str">
        <f>IF(G16="","",IF(G16="g","per kg",IF(G16="ml","per L",IF(G16="oz","per lb",IF(G16="kg","per kg",IF(G16="L","per L",IF(G16="lb","per lb",IF(G16="fl oz","per fl oz","per unit"))))))))</f>
        <v>per kg</v>
      </c>
      <c r="J16" s="25">
        <f t="shared" si="0"/>
        <v>0.4</v>
      </c>
    </row>
    <row r="17" spans="1:11" x14ac:dyDescent="0.25">
      <c r="A17" s="2"/>
      <c r="B17" s="2"/>
      <c r="C17" s="4"/>
      <c r="E17" s="65" t="s">
        <v>63</v>
      </c>
      <c r="F17" s="67">
        <v>30</v>
      </c>
      <c r="G17" s="69" t="s">
        <v>64</v>
      </c>
      <c r="H17" s="67">
        <v>12</v>
      </c>
      <c r="I17" s="24" t="str">
        <f>IF(G17="","",IF(G17="g","per kg",IF(G17="ml","per L",IF(G17="oz","per lb",IF(G17="kg","per kg",IF(G17="L","per L",IF(G17="lb","per lb",IF(G17="fl oz","per fl oz","per unit"))))))))</f>
        <v>per L</v>
      </c>
      <c r="J17" s="25">
        <f t="shared" si="0"/>
        <v>0.36</v>
      </c>
    </row>
    <row r="18" spans="1:11" x14ac:dyDescent="0.25">
      <c r="A18" s="2"/>
      <c r="B18" s="2"/>
      <c r="C18" s="4"/>
      <c r="E18" s="65" t="s">
        <v>65</v>
      </c>
      <c r="F18" s="67">
        <v>10</v>
      </c>
      <c r="G18" s="69" t="s">
        <v>59</v>
      </c>
      <c r="H18" s="67">
        <v>6</v>
      </c>
      <c r="I18" s="24" t="str">
        <f>IF(G18="","",IF(G18="g","per kg",IF(G18="ml","per L",IF(G18="oz","per lb",IF(G18="kg","per kg",IF(G18="L","per L",IF(G18="lb","per lb",IF(G18="fl oz","per fl oz","per unit"))))))))</f>
        <v>per kg</v>
      </c>
      <c r="J18" s="25">
        <f t="shared" si="0"/>
        <v>0.06</v>
      </c>
    </row>
    <row r="19" spans="1:11" x14ac:dyDescent="0.25">
      <c r="A19" s="2"/>
      <c r="B19" s="2"/>
      <c r="C19" s="4"/>
      <c r="E19" s="65" t="s">
        <v>66</v>
      </c>
      <c r="F19" s="67">
        <v>5</v>
      </c>
      <c r="G19" s="69" t="s">
        <v>59</v>
      </c>
      <c r="H19" s="67">
        <v>25</v>
      </c>
      <c r="I19" s="24" t="str">
        <f>IF(G19="","",IF(G19="g","per kg",IF(G19="ml","per L",IF(G19="oz","per lb",IF(G19="kg","per kg",IF(G19="L","per L",IF(G19="lb","per lb",IF(G19="fl oz","per fl oz","per unit"))))))))</f>
        <v>per kg</v>
      </c>
      <c r="J19" s="25">
        <f t="shared" si="0"/>
        <v>0.125</v>
      </c>
    </row>
    <row r="20" spans="1:11" ht="12.75" customHeight="1" x14ac:dyDescent="0.25">
      <c r="A20" s="2"/>
      <c r="B20" s="2"/>
      <c r="C20" s="4"/>
      <c r="E20" s="65" t="s">
        <v>67</v>
      </c>
      <c r="F20" s="67">
        <v>1</v>
      </c>
      <c r="G20" s="69" t="s">
        <v>68</v>
      </c>
      <c r="H20" s="67">
        <v>0.15</v>
      </c>
      <c r="I20" s="24" t="str">
        <f>IF(G20="","",IF(G20="g","per kg",IF(G20="ml","per L",IF(G20="oz","per lb",IF(G20="kg","per kg",IF(G20="L","per L",IF(G20="lb","per lb",IF(G20="fl oz","per fl oz","per unit"))))))))</f>
        <v>per unit</v>
      </c>
      <c r="J20" s="25">
        <f t="shared" si="0"/>
        <v>0.15</v>
      </c>
    </row>
    <row r="21" spans="1:11" x14ac:dyDescent="0.25">
      <c r="A21" s="2"/>
      <c r="B21" s="2"/>
      <c r="C21" s="4"/>
      <c r="E21" s="65" t="s">
        <v>78</v>
      </c>
      <c r="F21" s="67">
        <v>15</v>
      </c>
      <c r="G21" s="69" t="s">
        <v>64</v>
      </c>
      <c r="H21" s="67">
        <v>4</v>
      </c>
      <c r="I21" s="24" t="str">
        <f>IF(G21="","",IF(G21="g","per kg",IF(G21="ml","per L",IF(G21="oz","per lb",IF(G21="kg","per kg",IF(G21="L","per L",IF(G21="lb","per lb",IF(G21="fl oz","per fl oz","per unit"))))))))</f>
        <v>per L</v>
      </c>
      <c r="J21" s="25">
        <f t="shared" si="0"/>
        <v>0.06</v>
      </c>
    </row>
    <row r="22" spans="1:11" x14ac:dyDescent="0.25">
      <c r="A22" s="2"/>
      <c r="B22" s="2"/>
      <c r="C22" s="4"/>
      <c r="E22" s="65" t="s">
        <v>79</v>
      </c>
      <c r="F22" s="67">
        <v>10</v>
      </c>
      <c r="G22" s="69" t="s">
        <v>59</v>
      </c>
      <c r="H22" s="67">
        <v>12</v>
      </c>
      <c r="I22" s="24" t="str">
        <f>IF(G22="","",IF(G22="g","per kg",IF(G22="ml","per L",IF(G22="oz","per lb",IF(G22="kg","per kg",IF(G22="L","per L",IF(G22="lb","per lb",IF(G22="fl oz","per fl oz","per unit"))))))))</f>
        <v>per kg</v>
      </c>
      <c r="J22" s="25">
        <f t="shared" si="0"/>
        <v>0.12</v>
      </c>
    </row>
    <row r="23" spans="1:11" x14ac:dyDescent="0.25">
      <c r="A23" s="2"/>
      <c r="B23" s="2"/>
      <c r="C23" s="4"/>
      <c r="E23" s="65"/>
      <c r="F23" s="67"/>
      <c r="G23" s="69"/>
      <c r="H23" s="67"/>
      <c r="I23" s="24" t="str">
        <f>IF(G23="","",IF(G23="g","per kg",IF(G23="ml","per L",IF(G23="oz","per lb",IF(G23="kg","per kg",IF(G23="L","per L",IF(G23="lb","per lb",IF(G23="fl oz","per fl oz","per unit"))))))))</f>
        <v/>
      </c>
      <c r="J23" s="25" t="str">
        <f t="shared" si="0"/>
        <v/>
      </c>
    </row>
    <row r="24" spans="1:11" x14ac:dyDescent="0.25">
      <c r="A24" s="2"/>
      <c r="B24" s="2"/>
      <c r="C24" s="4"/>
      <c r="E24" s="66"/>
      <c r="F24" s="68"/>
      <c r="G24" s="70"/>
      <c r="H24" s="68"/>
      <c r="I24" s="26" t="str">
        <f>IF(G24="","",IF(G24="g","per kg",IF(G24="ml","per L",IF(G24="oz","per lb",IF(G24="kg","per kg",IF(G24="L","per L",IF(G24="lb","per lb",IF(G24="fl oz","per fl oz","per unit"))))))))</f>
        <v/>
      </c>
      <c r="J24" s="27" t="str">
        <f t="shared" si="0"/>
        <v/>
      </c>
    </row>
    <row r="25" spans="1:11" x14ac:dyDescent="0.25">
      <c r="A25" s="2"/>
      <c r="B25" s="2"/>
      <c r="C25" s="4"/>
      <c r="E25" s="28"/>
      <c r="F25" s="29"/>
      <c r="G25" s="28"/>
      <c r="H25" s="29"/>
      <c r="I25" s="30"/>
      <c r="J25" s="31"/>
      <c r="K25" s="32"/>
    </row>
    <row r="26" spans="1:11" x14ac:dyDescent="0.25">
      <c r="A26" s="2"/>
      <c r="B26" s="2"/>
      <c r="C26" s="4"/>
      <c r="E26" s="33" t="s">
        <v>13</v>
      </c>
      <c r="F26" s="34"/>
      <c r="G26" s="34"/>
      <c r="H26" s="34"/>
      <c r="I26" s="34"/>
      <c r="J26" s="35">
        <f>SUM(J13:J24)</f>
        <v>4.6349999999999998</v>
      </c>
      <c r="K26" s="32"/>
    </row>
    <row r="27" spans="1:11" ht="27.95" customHeight="1" x14ac:dyDescent="0.25">
      <c r="A27" s="2"/>
      <c r="B27" s="2"/>
      <c r="C27" s="4"/>
      <c r="E27" s="36" t="s">
        <v>14</v>
      </c>
      <c r="F27" s="37"/>
      <c r="G27" s="37"/>
      <c r="H27" s="37"/>
      <c r="I27" s="37"/>
      <c r="J27" s="38">
        <f>IFERROR(J26/F10,0)</f>
        <v>0.20249098196392787</v>
      </c>
    </row>
    <row r="28" spans="1:11" x14ac:dyDescent="0.25">
      <c r="A28" s="2"/>
      <c r="B28" s="2"/>
      <c r="C28" s="4"/>
      <c r="E28" s="39" t="s">
        <v>15</v>
      </c>
      <c r="F28" s="40"/>
      <c r="G28" s="40"/>
      <c r="H28" s="40"/>
      <c r="I28" s="40"/>
      <c r="J28" s="41">
        <f>F10-J26</f>
        <v>18.254908256880732</v>
      </c>
    </row>
    <row r="29" spans="1:11" x14ac:dyDescent="0.25">
      <c r="A29" s="2"/>
      <c r="B29" s="2"/>
      <c r="C29" s="4"/>
      <c r="E29" s="39" t="s">
        <v>16</v>
      </c>
      <c r="F29" s="40"/>
      <c r="G29" s="40"/>
      <c r="H29" s="40"/>
      <c r="I29" s="40"/>
      <c r="J29" s="42">
        <f>IFERROR(J28/F10,0)</f>
        <v>0.79750901803607221</v>
      </c>
    </row>
    <row r="30" spans="1:11" x14ac:dyDescent="0.25">
      <c r="A30" s="2"/>
      <c r="B30" s="2"/>
      <c r="C30" s="4"/>
      <c r="E30" s="43" t="s">
        <v>17</v>
      </c>
      <c r="F30" s="37"/>
      <c r="G30" s="37"/>
      <c r="H30" s="37"/>
      <c r="I30" s="37"/>
      <c r="J30" s="44" t="str">
        <f>IFERROR(INDEX(E13:E24,MATCH(MAX(J13:J24),J13:J24,0)),"-")</f>
        <v>Salmon fillet</v>
      </c>
    </row>
    <row r="31" spans="1:11" ht="27.95" customHeight="1" x14ac:dyDescent="0.25">
      <c r="A31" s="2"/>
      <c r="B31" s="2"/>
      <c r="C31" s="4"/>
      <c r="E31" s="45" t="s">
        <v>18</v>
      </c>
      <c r="F31" s="37"/>
      <c r="G31" s="37"/>
      <c r="H31" s="37"/>
      <c r="I31" s="37"/>
      <c r="J31" s="46">
        <f>Dashboard!F7</f>
        <v>0.3</v>
      </c>
    </row>
    <row r="32" spans="1:11" ht="20.25" customHeight="1" x14ac:dyDescent="0.25">
      <c r="A32" s="2"/>
      <c r="B32" s="2"/>
      <c r="C32" s="4"/>
      <c r="E32" s="14" t="s">
        <v>19</v>
      </c>
      <c r="F32" s="14"/>
      <c r="G32" s="14"/>
      <c r="H32" s="14"/>
      <c r="I32" s="14"/>
      <c r="J32" s="14"/>
    </row>
    <row r="33" spans="1:11" x14ac:dyDescent="0.25">
      <c r="A33" s="2"/>
      <c r="B33" s="2"/>
      <c r="C33" s="4"/>
      <c r="E33" s="15" t="s">
        <v>6</v>
      </c>
      <c r="F33" s="62" t="s">
        <v>69</v>
      </c>
      <c r="G33" s="62"/>
      <c r="H33" s="62"/>
      <c r="I33" s="16"/>
      <c r="J33" s="16"/>
    </row>
    <row r="34" spans="1:11" x14ac:dyDescent="0.25">
      <c r="A34" s="2"/>
      <c r="B34" s="2"/>
      <c r="C34" s="4"/>
      <c r="E34" s="15" t="s">
        <v>7</v>
      </c>
      <c r="F34" s="63">
        <v>16.5</v>
      </c>
      <c r="G34" s="17"/>
      <c r="H34" s="17"/>
      <c r="I34" s="17"/>
      <c r="J34" s="17"/>
    </row>
    <row r="35" spans="1:11" ht="15.75" thickBot="1" x14ac:dyDescent="0.3">
      <c r="A35" s="2"/>
      <c r="B35" s="2"/>
      <c r="C35" s="4"/>
      <c r="E35" s="18" t="s">
        <v>8</v>
      </c>
      <c r="F35" s="64">
        <v>0.09</v>
      </c>
      <c r="G35" s="17"/>
      <c r="H35" s="17"/>
      <c r="I35" s="17"/>
      <c r="J35" s="17"/>
    </row>
    <row r="36" spans="1:11" ht="15.75" thickTop="1" x14ac:dyDescent="0.25">
      <c r="A36" s="2"/>
      <c r="B36" s="2"/>
      <c r="C36" s="4"/>
      <c r="E36" s="19" t="s">
        <v>9</v>
      </c>
      <c r="F36" s="20">
        <f>IFERROR(F34/(1+F35),0)</f>
        <v>15.137614678899082</v>
      </c>
      <c r="G36" s="17"/>
      <c r="H36" s="17"/>
      <c r="I36" s="17"/>
      <c r="J36" s="17"/>
    </row>
    <row r="37" spans="1:11" x14ac:dyDescent="0.25">
      <c r="A37" s="2"/>
      <c r="B37" s="2"/>
      <c r="C37" s="4"/>
      <c r="E37" s="17"/>
      <c r="F37" s="7"/>
      <c r="G37" s="7"/>
      <c r="H37" s="7"/>
      <c r="I37" s="7"/>
      <c r="J37" s="7"/>
    </row>
    <row r="38" spans="1:11" x14ac:dyDescent="0.25">
      <c r="A38" s="2"/>
      <c r="B38" s="2"/>
      <c r="C38" s="4"/>
      <c r="E38" s="21" t="s">
        <v>10</v>
      </c>
      <c r="F38" s="22" t="s">
        <v>11</v>
      </c>
      <c r="G38" s="22" t="s">
        <v>12</v>
      </c>
      <c r="H38" s="22" t="str">
        <f>"Cost / Bulk ("&amp;$F$3&amp;")"</f>
        <v>Cost / Bulk (CHF)</v>
      </c>
      <c r="I38" s="22" t="s">
        <v>85</v>
      </c>
      <c r="J38" s="23" t="str">
        <f>"Cost / Portion ("&amp;$F$3&amp;")"</f>
        <v>Cost / Portion (CHF)</v>
      </c>
    </row>
    <row r="39" spans="1:11" x14ac:dyDescent="0.25">
      <c r="A39" s="2"/>
      <c r="B39" s="2"/>
      <c r="C39" s="4"/>
      <c r="E39" s="65" t="s">
        <v>70</v>
      </c>
      <c r="F39" s="67">
        <v>250</v>
      </c>
      <c r="G39" s="67" t="s">
        <v>59</v>
      </c>
      <c r="H39" s="71">
        <v>2</v>
      </c>
      <c r="I39" s="47" t="str">
        <f>IF(G39="","",IF(G39="g","per kg",IF(G39="ml","per L",IF(G39="oz","per lb",IF(G39="kg","per kg",IF(G39="L","per L",IF(G39="lb","per lb",IF(G39="fl oz","per fl oz","per unit"))))))))</f>
        <v>per kg</v>
      </c>
      <c r="J39" s="25">
        <f>IF(F39="","",IF(OR(G39="g",G39="ml"),H39/1000*F39,IF(G39="oz",H39/16*F39,H39*F39)))</f>
        <v>0.5</v>
      </c>
    </row>
    <row r="40" spans="1:11" x14ac:dyDescent="0.25">
      <c r="A40" s="2"/>
      <c r="B40" s="2"/>
      <c r="C40" s="4"/>
      <c r="E40" s="65" t="s">
        <v>71</v>
      </c>
      <c r="F40" s="67">
        <v>125</v>
      </c>
      <c r="G40" s="67" t="s">
        <v>59</v>
      </c>
      <c r="H40" s="71">
        <v>12</v>
      </c>
      <c r="I40" s="47" t="str">
        <f>IF(G40="","",IF(G40="g","per kg",IF(G40="ml","per L",IF(G40="oz","per lb",IF(G40="kg","per kg",IF(G40="L","per L",IF(G40="lb","per lb",IF(G40="fl oz","per fl oz","per unit"))))))))</f>
        <v>per kg</v>
      </c>
      <c r="J40" s="25">
        <f>IF(F40="","",IF(OR(G40="g",G40="ml"),H40/1000*F40,IF(G40="oz",H40/16*F40,H40*F40)))</f>
        <v>1.5</v>
      </c>
    </row>
    <row r="41" spans="1:11" x14ac:dyDescent="0.25">
      <c r="A41" s="2"/>
      <c r="B41" s="2"/>
      <c r="C41" s="4"/>
      <c r="E41" s="65" t="s">
        <v>72</v>
      </c>
      <c r="F41" s="67">
        <v>80</v>
      </c>
      <c r="G41" s="67" t="s">
        <v>64</v>
      </c>
      <c r="H41" s="71">
        <v>5</v>
      </c>
      <c r="I41" s="47" t="str">
        <f>IF(G41="","",IF(G41="g","per kg",IF(G41="ml","per L",IF(G41="oz","per lb",IF(G41="kg","per kg",IF(G41="L","per L",IF(G41="lb","per lb",IF(G41="fl oz","per fl oz","per unit"))))))))</f>
        <v>per L</v>
      </c>
      <c r="J41" s="25">
        <f>IF(F41="","",IF(OR(G41="g",G41="ml"),H41/1000*F41,IF(G41="oz",H41/16*F41,H41*F41)))</f>
        <v>0.4</v>
      </c>
    </row>
    <row r="42" spans="1:11" ht="12.75" customHeight="1" x14ac:dyDescent="0.25">
      <c r="A42" s="2"/>
      <c r="B42" s="2"/>
      <c r="C42" s="4"/>
      <c r="E42" s="65" t="s">
        <v>73</v>
      </c>
      <c r="F42" s="67">
        <v>5</v>
      </c>
      <c r="G42" s="67" t="s">
        <v>59</v>
      </c>
      <c r="H42" s="71">
        <v>30</v>
      </c>
      <c r="I42" s="47" t="str">
        <f>IF(G42="","",IF(G42="g","per kg",IF(G42="ml","per L",IF(G42="oz","per lb",IF(G42="kg","per kg",IF(G42="L","per L",IF(G42="lb","per lb",IF(G42="fl oz","per fl oz","per unit"))))))))</f>
        <v>per kg</v>
      </c>
      <c r="J42" s="25">
        <f>IF(F42="","",IF(OR(G42="g",G42="ml"),H42/1000*F42,IF(G42="oz",H42/16*F42,H42*F42)))</f>
        <v>0.15</v>
      </c>
    </row>
    <row r="43" spans="1:11" x14ac:dyDescent="0.25">
      <c r="A43" s="2"/>
      <c r="B43" s="2"/>
      <c r="C43" s="4"/>
      <c r="E43" s="65" t="s">
        <v>74</v>
      </c>
      <c r="F43" s="67">
        <v>15</v>
      </c>
      <c r="G43" s="67" t="s">
        <v>64</v>
      </c>
      <c r="H43" s="71">
        <v>10</v>
      </c>
      <c r="I43" s="47" t="str">
        <f>IF(G43="","",IF(G43="g","per kg",IF(G43="ml","per L",IF(G43="oz","per lb",IF(G43="kg","per kg",IF(G43="L","per L",IF(G43="lb","per lb",IF(G43="fl oz","per fl oz","per unit"))))))))</f>
        <v>per L</v>
      </c>
      <c r="J43" s="25">
        <f>IF(F43="","",IF(OR(G43="g",G43="ml"),H43/1000*F43,IF(G43="oz",H43/16*F43,H43*F43)))</f>
        <v>0.15</v>
      </c>
    </row>
    <row r="44" spans="1:11" x14ac:dyDescent="0.25">
      <c r="A44" s="2"/>
      <c r="B44" s="2"/>
      <c r="C44" s="4"/>
      <c r="E44" s="65" t="s">
        <v>75</v>
      </c>
      <c r="F44" s="67">
        <v>15</v>
      </c>
      <c r="G44" s="67" t="s">
        <v>59</v>
      </c>
      <c r="H44" s="71">
        <v>25</v>
      </c>
      <c r="I44" s="47" t="str">
        <f>IF(G44="","",IF(G44="g","per kg",IF(G44="ml","per L",IF(G44="oz","per lb",IF(G44="kg","per kg",IF(G44="L","per L",IF(G44="lb","per lb",IF(G44="fl oz","per fl oz","per unit"))))))))</f>
        <v>per kg</v>
      </c>
      <c r="J44" s="25">
        <f>IF(F44="","",IF(OR(G44="g",G44="ml"),H44/1000*F44,IF(G44="oz",H44/16*F44,H44*F44)))</f>
        <v>0.375</v>
      </c>
    </row>
    <row r="45" spans="1:11" x14ac:dyDescent="0.25">
      <c r="A45" s="2"/>
      <c r="B45" s="2"/>
      <c r="C45" s="4"/>
      <c r="E45" s="65" t="s">
        <v>80</v>
      </c>
      <c r="F45" s="67">
        <v>3</v>
      </c>
      <c r="G45" s="67" t="s">
        <v>59</v>
      </c>
      <c r="H45" s="71">
        <v>3</v>
      </c>
      <c r="I45" s="47" t="str">
        <f>IF(G45="","",IF(G45="g","per kg",IF(G45="ml","per L",IF(G45="oz","per lb",IF(G45="kg","per kg",IF(G45="L","per L",IF(G45="lb","per lb",IF(G45="fl oz","per fl oz","per unit"))))))))</f>
        <v>per kg</v>
      </c>
      <c r="J45" s="25">
        <f>IF(F45="","",IF(OR(G45="g",G45="ml"),H45/1000*F45,IF(G45="oz",H45/16*F45,H45*F45)))</f>
        <v>9.0000000000000011E-3</v>
      </c>
    </row>
    <row r="46" spans="1:11" x14ac:dyDescent="0.25">
      <c r="A46" s="2"/>
      <c r="B46" s="2"/>
      <c r="C46" s="4"/>
      <c r="E46" s="65"/>
      <c r="F46" s="67"/>
      <c r="G46" s="67"/>
      <c r="H46" s="71"/>
      <c r="I46" s="47" t="str">
        <f>IF(G46="","",IF(G46="g","per kg",IF(G46="ml","per L",IF(G46="oz","per lb",IF(G46="kg","per kg",IF(G46="L","per L",IF(G46="lb","per lb",IF(G46="fl oz","per fl oz","per unit"))))))))</f>
        <v/>
      </c>
      <c r="J46" s="25" t="str">
        <f>IF(F46="","",IF(OR(G46="g",G46="ml"),H46/1000*F46,IF(G46="oz",H46/16*F46,H46*F46)))</f>
        <v/>
      </c>
    </row>
    <row r="47" spans="1:11" x14ac:dyDescent="0.25">
      <c r="A47" s="2"/>
      <c r="B47" s="2"/>
      <c r="C47" s="4"/>
      <c r="E47" s="65"/>
      <c r="F47" s="67"/>
      <c r="G47" s="67"/>
      <c r="H47" s="71"/>
      <c r="I47" s="47" t="str">
        <f>IF(G47="","",IF(G47="g","per kg",IF(G47="ml","per L",IF(G47="oz","per lb",IF(G47="kg","per kg",IF(G47="L","per L",IF(G47="lb","per lb",IF(G47="fl oz","per fl oz","per unit"))))))))</f>
        <v/>
      </c>
      <c r="J47" s="25" t="str">
        <f>IF(F47="","",IF(OR(G47="g",G47="ml"),H47/1000*F47,IF(G47="oz",H47/16*F47,H47*F47)))</f>
        <v/>
      </c>
    </row>
    <row r="48" spans="1:11" ht="27.95" customHeight="1" x14ac:dyDescent="0.25">
      <c r="A48" s="2"/>
      <c r="B48" s="2"/>
      <c r="C48" s="4"/>
      <c r="E48" s="65"/>
      <c r="F48" s="67"/>
      <c r="G48" s="67"/>
      <c r="H48" s="71"/>
      <c r="I48" s="47" t="str">
        <f>IF(G48="","",IF(G48="g","per kg",IF(G48="ml","per L",IF(G48="oz","per lb",IF(G48="kg","per kg",IF(G48="L","per L",IF(G48="lb","per lb",IF(G48="fl oz","per fl oz","per unit"))))))))</f>
        <v/>
      </c>
      <c r="J48" s="25" t="str">
        <f>IF(F48="","",IF(OR(G48="g",G48="ml"),H48/1000*F48,IF(G48="oz",H48/16*F48,H48*F48)))</f>
        <v/>
      </c>
      <c r="K48" s="48"/>
    </row>
    <row r="49" spans="1:11" x14ac:dyDescent="0.25">
      <c r="A49" s="2"/>
      <c r="B49" s="2"/>
      <c r="C49" s="4"/>
      <c r="E49" s="65"/>
      <c r="F49" s="67"/>
      <c r="G49" s="67"/>
      <c r="H49" s="71"/>
      <c r="I49" s="47" t="str">
        <f>IF(G49="","",IF(G49="g","per kg",IF(G49="ml","per L",IF(G49="oz","per lb",IF(G49="kg","per kg",IF(G49="L","per L",IF(G49="lb","per lb",IF(G49="fl oz","per fl oz","per unit"))))))))</f>
        <v/>
      </c>
      <c r="J49" s="25" t="str">
        <f>IF(F49="","",IF(OR(G49="g",G49="ml"),H49/1000*F49,IF(G49="oz",H49/16*F49,H49*F49)))</f>
        <v/>
      </c>
    </row>
    <row r="50" spans="1:11" x14ac:dyDescent="0.25">
      <c r="A50" s="2"/>
      <c r="B50" s="2"/>
      <c r="C50" s="4"/>
      <c r="E50" s="66"/>
      <c r="F50" s="68"/>
      <c r="G50" s="68"/>
      <c r="H50" s="72"/>
      <c r="I50" s="49" t="str">
        <f>IF(G50="","",IF(G50="g","per kg",IF(G50="ml","per L",IF(G50="oz","per lb",IF(G50="kg","per kg",IF(G50="L","per L",IF(G50="lb","per lb",IF(G50="fl oz","per fl oz","per unit"))))))))</f>
        <v/>
      </c>
      <c r="J50" s="27" t="str">
        <f>IF(F50="","",IF(OR(G50="g",G50="ml"),H50/1000*F50,IF(G50="oz",H50/16*F50,H50*F50)))</f>
        <v/>
      </c>
      <c r="K50" s="32"/>
    </row>
    <row r="51" spans="1:11" x14ac:dyDescent="0.25">
      <c r="A51" s="2"/>
      <c r="B51" s="2"/>
      <c r="C51" s="4"/>
      <c r="E51" s="50"/>
      <c r="F51" s="51"/>
      <c r="G51" s="51"/>
      <c r="H51" s="51"/>
      <c r="I51" s="52"/>
      <c r="J51" s="53"/>
      <c r="K51" s="32"/>
    </row>
    <row r="52" spans="1:11" x14ac:dyDescent="0.25">
      <c r="A52" s="2"/>
      <c r="B52" s="2"/>
      <c r="C52" s="4"/>
      <c r="E52" s="33" t="s">
        <v>13</v>
      </c>
      <c r="F52" s="34"/>
      <c r="G52" s="34"/>
      <c r="H52" s="34"/>
      <c r="I52" s="34"/>
      <c r="J52" s="35">
        <f>SUM(J39:J50)</f>
        <v>3.0839999999999996</v>
      </c>
      <c r="K52" s="32"/>
    </row>
    <row r="53" spans="1:11" x14ac:dyDescent="0.25">
      <c r="A53" s="2"/>
      <c r="B53" s="2"/>
      <c r="C53" s="4"/>
      <c r="E53" s="36" t="s">
        <v>14</v>
      </c>
      <c r="F53" s="37"/>
      <c r="G53" s="37"/>
      <c r="H53" s="37"/>
      <c r="I53" s="54"/>
      <c r="J53" s="38">
        <f>IFERROR(J52/F36,0)</f>
        <v>0.20373090909090907</v>
      </c>
    </row>
    <row r="54" spans="1:11" x14ac:dyDescent="0.25">
      <c r="A54" s="2"/>
      <c r="B54" s="2"/>
      <c r="C54" s="4"/>
      <c r="E54" s="39" t="s">
        <v>15</v>
      </c>
      <c r="F54" s="40"/>
      <c r="G54" s="40"/>
      <c r="H54" s="40"/>
      <c r="I54" s="40"/>
      <c r="J54" s="41">
        <f>F36-J52</f>
        <v>12.053614678899082</v>
      </c>
    </row>
    <row r="55" spans="1:11" x14ac:dyDescent="0.25">
      <c r="A55" s="2"/>
      <c r="B55" s="2"/>
      <c r="C55" s="4"/>
      <c r="E55" s="39" t="s">
        <v>16</v>
      </c>
      <c r="F55" s="40"/>
      <c r="G55" s="40"/>
      <c r="H55" s="40"/>
      <c r="I55" s="40"/>
      <c r="J55" s="42">
        <f>IFERROR(J54/F36,0)</f>
        <v>0.79626909090909093</v>
      </c>
    </row>
    <row r="56" spans="1:11" x14ac:dyDescent="0.25">
      <c r="A56" s="2"/>
      <c r="B56" s="2"/>
      <c r="C56" s="4"/>
      <c r="E56" s="43" t="s">
        <v>17</v>
      </c>
      <c r="F56" s="37"/>
      <c r="G56" s="37"/>
      <c r="H56" s="37"/>
      <c r="I56" s="37"/>
      <c r="J56" s="44" t="str">
        <f>IFERROR(INDEX(E39:E50,MATCH(MAX(J39:J50),J39:J50,0)),"-")</f>
        <v>Mozzarella</v>
      </c>
    </row>
    <row r="57" spans="1:11" ht="27.95" customHeight="1" x14ac:dyDescent="0.25">
      <c r="A57" s="2"/>
      <c r="B57" s="2"/>
      <c r="C57" s="4"/>
      <c r="E57" s="45" t="s">
        <v>18</v>
      </c>
      <c r="F57" s="37"/>
      <c r="G57" s="37"/>
      <c r="H57" s="37"/>
      <c r="I57" s="37"/>
      <c r="J57" s="46">
        <f>Dashboard!F7</f>
        <v>0.3</v>
      </c>
    </row>
    <row r="58" spans="1:11" x14ac:dyDescent="0.25">
      <c r="A58" s="2"/>
      <c r="B58" s="2"/>
      <c r="C58" s="4"/>
      <c r="E58" s="14" t="s">
        <v>20</v>
      </c>
      <c r="F58" s="14"/>
      <c r="G58" s="14"/>
      <c r="H58" s="14"/>
      <c r="I58" s="14"/>
      <c r="J58" s="14"/>
    </row>
    <row r="59" spans="1:11" x14ac:dyDescent="0.25">
      <c r="A59" s="2"/>
      <c r="B59" s="2"/>
      <c r="C59" s="4"/>
      <c r="E59" s="15" t="s">
        <v>6</v>
      </c>
      <c r="F59" s="62" t="s">
        <v>21</v>
      </c>
      <c r="G59" s="62"/>
      <c r="H59" s="62"/>
      <c r="I59" s="16"/>
      <c r="J59" s="16"/>
    </row>
    <row r="60" spans="1:11" x14ac:dyDescent="0.25">
      <c r="A60" s="2"/>
      <c r="B60" s="2"/>
      <c r="C60" s="4"/>
      <c r="E60" s="15" t="s">
        <v>7</v>
      </c>
      <c r="F60" s="63">
        <v>0</v>
      </c>
      <c r="G60" s="17"/>
      <c r="H60" s="17"/>
      <c r="I60" s="17"/>
      <c r="J60" s="17"/>
    </row>
    <row r="61" spans="1:11" ht="15.75" thickBot="1" x14ac:dyDescent="0.3">
      <c r="A61" s="2"/>
      <c r="B61" s="2"/>
      <c r="C61" s="4"/>
      <c r="E61" s="18" t="s">
        <v>8</v>
      </c>
      <c r="F61" s="64">
        <v>0.09</v>
      </c>
      <c r="G61" s="17"/>
      <c r="H61" s="17"/>
      <c r="I61" s="17"/>
      <c r="J61" s="17"/>
    </row>
    <row r="62" spans="1:11" ht="15.75" thickTop="1" x14ac:dyDescent="0.25">
      <c r="A62" s="2"/>
      <c r="B62" s="2"/>
      <c r="C62" s="4"/>
      <c r="E62" s="19" t="s">
        <v>9</v>
      </c>
      <c r="F62" s="20">
        <f>IFERROR(F60/(1+F61),0)</f>
        <v>0</v>
      </c>
      <c r="G62" s="17"/>
      <c r="H62" s="17"/>
      <c r="I62" s="17"/>
      <c r="J62" s="17"/>
    </row>
    <row r="63" spans="1:11" x14ac:dyDescent="0.25">
      <c r="A63" s="2"/>
      <c r="B63" s="2"/>
      <c r="C63" s="4"/>
      <c r="E63" s="17"/>
      <c r="F63" s="17"/>
      <c r="G63" s="17"/>
      <c r="H63" s="17"/>
      <c r="I63" s="17"/>
      <c r="J63" s="17"/>
    </row>
    <row r="64" spans="1:11" ht="12.75" customHeight="1" x14ac:dyDescent="0.25">
      <c r="A64" s="2"/>
      <c r="B64" s="2"/>
      <c r="C64" s="4"/>
      <c r="E64" s="21" t="s">
        <v>10</v>
      </c>
      <c r="F64" s="22" t="s">
        <v>11</v>
      </c>
      <c r="G64" s="22" t="s">
        <v>12</v>
      </c>
      <c r="H64" s="22" t="str">
        <f>"Cost / Bulk ("&amp;$F$3&amp;")"</f>
        <v>Cost / Bulk (CHF)</v>
      </c>
      <c r="I64" s="22" t="s">
        <v>85</v>
      </c>
      <c r="J64" s="23" t="str">
        <f>"Cost / Portion ("&amp;$F$3&amp;")"</f>
        <v>Cost / Portion (CHF)</v>
      </c>
    </row>
    <row r="65" spans="1:11" x14ac:dyDescent="0.25">
      <c r="A65" s="2"/>
      <c r="B65" s="2"/>
      <c r="C65" s="4"/>
      <c r="E65" s="65"/>
      <c r="F65" s="67"/>
      <c r="G65" s="67"/>
      <c r="H65" s="71"/>
      <c r="I65" s="47" t="str">
        <f>IF(G65="","",IF(G65="g","per kg",IF(G65="ml","per L",IF(G65="oz","per lb",IF(G65="kg","per kg",IF(G65="L","per L",IF(G65="lb","per lb",IF(G65="fl oz","per fl oz","per unit"))))))))</f>
        <v/>
      </c>
      <c r="J65" s="25" t="str">
        <f>IF(F65="","",IF(OR(G65="g",G65="ml"),H65/1000*F65,IF(G65="oz",H65/16*F65,H65*F65)))</f>
        <v/>
      </c>
    </row>
    <row r="66" spans="1:11" x14ac:dyDescent="0.25">
      <c r="A66" s="2"/>
      <c r="B66" s="2"/>
      <c r="C66" s="4"/>
      <c r="E66" s="65"/>
      <c r="F66" s="67"/>
      <c r="G66" s="67"/>
      <c r="H66" s="71"/>
      <c r="I66" s="47" t="str">
        <f>IF(G66="","",IF(G66="g","per kg",IF(G66="ml","per L",IF(G66="oz","per lb",IF(G66="kg","per kg",IF(G66="L","per L",IF(G66="lb","per lb",IF(G66="fl oz","per fl oz","per unit"))))))))</f>
        <v/>
      </c>
      <c r="J66" s="25" t="str">
        <f>IF(F66="","",IF(OR(G66="g",G66="ml"),H66/1000*F66,IF(G66="oz",H66/16*F66,H66*F66)))</f>
        <v/>
      </c>
    </row>
    <row r="67" spans="1:11" x14ac:dyDescent="0.25">
      <c r="A67" s="2"/>
      <c r="B67" s="2"/>
      <c r="C67" s="4"/>
      <c r="E67" s="65"/>
      <c r="F67" s="67"/>
      <c r="G67" s="67"/>
      <c r="H67" s="71"/>
      <c r="I67" s="47" t="str">
        <f>IF(G67="","",IF(G67="g","per kg",IF(G67="ml","per L",IF(G67="oz","per lb",IF(G67="kg","per kg",IF(G67="L","per L",IF(G67="lb","per lb",IF(G67="fl oz","per fl oz","per unit"))))))))</f>
        <v/>
      </c>
      <c r="J67" s="25" t="str">
        <f>IF(F67="","",IF(OR(G67="g",G67="ml"),H67/1000*F67,IF(G67="oz",H67/16*F67,H67*F67)))</f>
        <v/>
      </c>
    </row>
    <row r="68" spans="1:11" x14ac:dyDescent="0.25">
      <c r="A68" s="2"/>
      <c r="B68" s="2"/>
      <c r="C68" s="4"/>
      <c r="E68" s="65"/>
      <c r="F68" s="67"/>
      <c r="G68" s="67"/>
      <c r="H68" s="71"/>
      <c r="I68" s="47" t="str">
        <f>IF(G68="","",IF(G68="g","per kg",IF(G68="ml","per L",IF(G68="oz","per lb",IF(G68="kg","per kg",IF(G68="L","per L",IF(G68="lb","per lb",IF(G68="fl oz","per fl oz","per unit"))))))))</f>
        <v/>
      </c>
      <c r="J68" s="25" t="str">
        <f>IF(F68="","",IF(OR(G68="g",G68="ml"),H68/1000*F68,IF(G68="oz",H68/16*F68,H68*F68)))</f>
        <v/>
      </c>
    </row>
    <row r="69" spans="1:11" x14ac:dyDescent="0.25">
      <c r="A69" s="2"/>
      <c r="B69" s="2"/>
      <c r="C69" s="4"/>
      <c r="E69" s="65"/>
      <c r="F69" s="67"/>
      <c r="G69" s="67"/>
      <c r="H69" s="71"/>
      <c r="I69" s="47" t="str">
        <f>IF(G69="","",IF(G69="g","per kg",IF(G69="ml","per L",IF(G69="oz","per lb",IF(G69="kg","per kg",IF(G69="L","per L",IF(G69="lb","per lb",IF(G69="fl oz","per fl oz","per unit"))))))))</f>
        <v/>
      </c>
      <c r="J69" s="25" t="str">
        <f>IF(F69="","",IF(OR(G69="g",G69="ml"),H69/1000*F69,IF(G69="oz",H69/16*F69,H69*F69)))</f>
        <v/>
      </c>
    </row>
    <row r="70" spans="1:11" ht="27.95" customHeight="1" x14ac:dyDescent="0.25">
      <c r="A70" s="2"/>
      <c r="B70" s="2"/>
      <c r="C70" s="4"/>
      <c r="E70" s="65"/>
      <c r="F70" s="67"/>
      <c r="G70" s="67"/>
      <c r="H70" s="71"/>
      <c r="I70" s="47" t="str">
        <f>IF(G70="","",IF(G70="g","per kg",IF(G70="ml","per L",IF(G70="oz","per lb",IF(G70="kg","per kg",IF(G70="L","per L",IF(G70="lb","per lb",IF(G70="fl oz","per fl oz","per unit"))))))))</f>
        <v/>
      </c>
      <c r="J70" s="25" t="str">
        <f>IF(F70="","",IF(OR(G70="g",G70="ml"),H70/1000*F70,IF(G70="oz",H70/16*F70,H70*F70)))</f>
        <v/>
      </c>
    </row>
    <row r="71" spans="1:11" x14ac:dyDescent="0.25">
      <c r="A71" s="2"/>
      <c r="B71" s="2"/>
      <c r="C71" s="4"/>
      <c r="E71" s="65"/>
      <c r="F71" s="67"/>
      <c r="G71" s="67"/>
      <c r="H71" s="71"/>
      <c r="I71" s="47" t="str">
        <f>IF(G71="","",IF(G71="g","per kg",IF(G71="ml","per L",IF(G71="oz","per lb",IF(G71="kg","per kg",IF(G71="L","per L",IF(G71="lb","per lb",IF(G71="fl oz","per fl oz","per unit"))))))))</f>
        <v/>
      </c>
      <c r="J71" s="25" t="str">
        <f>IF(F71="","",IF(OR(G71="g",G71="ml"),H71/1000*F71,IF(G71="oz",H71/16*F71,H71*F71)))</f>
        <v/>
      </c>
    </row>
    <row r="72" spans="1:11" x14ac:dyDescent="0.25">
      <c r="A72" s="2"/>
      <c r="B72" s="2"/>
      <c r="C72" s="4"/>
      <c r="E72" s="65"/>
      <c r="F72" s="67"/>
      <c r="G72" s="67"/>
      <c r="H72" s="71"/>
      <c r="I72" s="47" t="str">
        <f>IF(G72="","",IF(G72="g","per kg",IF(G72="ml","per L",IF(G72="oz","per lb",IF(G72="kg","per kg",IF(G72="L","per L",IF(G72="lb","per lb",IF(G72="fl oz","per fl oz","per unit"))))))))</f>
        <v/>
      </c>
      <c r="J72" s="25" t="str">
        <f>IF(F72="","",IF(OR(G72="g",G72="ml"),H72/1000*F72,IF(G72="oz",H72/16*F72,H72*F72)))</f>
        <v/>
      </c>
    </row>
    <row r="73" spans="1:11" x14ac:dyDescent="0.25">
      <c r="A73" s="2"/>
      <c r="B73" s="2"/>
      <c r="C73" s="4"/>
      <c r="E73" s="65"/>
      <c r="F73" s="67"/>
      <c r="G73" s="67"/>
      <c r="H73" s="71"/>
      <c r="I73" s="47" t="str">
        <f>IF(G73="","",IF(G73="g","per kg",IF(G73="ml","per L",IF(G73="oz","per lb",IF(G73="kg","per kg",IF(G73="L","per L",IF(G73="lb","per lb",IF(G73="fl oz","per fl oz","per unit"))))))))</f>
        <v/>
      </c>
      <c r="J73" s="25" t="str">
        <f>IF(F73="","",IF(OR(G73="g",G73="ml"),H73/1000*F73,IF(G73="oz",H73/16*F73,H73*F73)))</f>
        <v/>
      </c>
    </row>
    <row r="74" spans="1:11" x14ac:dyDescent="0.25">
      <c r="A74" s="2"/>
      <c r="B74" s="2"/>
      <c r="C74" s="4"/>
      <c r="E74" s="65"/>
      <c r="F74" s="67"/>
      <c r="G74" s="67"/>
      <c r="H74" s="71"/>
      <c r="I74" s="47" t="str">
        <f>IF(G74="","",IF(G74="g","per kg",IF(G74="ml","per L",IF(G74="oz","per lb",IF(G74="kg","per kg",IF(G74="L","per L",IF(G74="lb","per lb",IF(G74="fl oz","per fl oz","per unit"))))))))</f>
        <v/>
      </c>
      <c r="J74" s="25" t="str">
        <f>IF(F74="","",IF(OR(G74="g",G74="ml"),H74/1000*F74,IF(G74="oz",H74/16*F74,H74*F74)))</f>
        <v/>
      </c>
    </row>
    <row r="75" spans="1:11" x14ac:dyDescent="0.25">
      <c r="A75" s="2"/>
      <c r="B75" s="2"/>
      <c r="C75" s="4"/>
      <c r="E75" s="65"/>
      <c r="F75" s="67"/>
      <c r="G75" s="67"/>
      <c r="H75" s="71"/>
      <c r="I75" s="47" t="str">
        <f>IF(G75="","",IF(G75="g","per kg",IF(G75="ml","per L",IF(G75="oz","per lb",IF(G75="kg","per kg",IF(G75="L","per L",IF(G75="lb","per lb",IF(G75="fl oz","per fl oz","per unit"))))))))</f>
        <v/>
      </c>
      <c r="J75" s="25" t="str">
        <f>IF(F75="","",IF(OR(G75="g",G75="ml"),H75/1000*F75,IF(G75="oz",H75/16*F75,H75*F75)))</f>
        <v/>
      </c>
    </row>
    <row r="76" spans="1:11" x14ac:dyDescent="0.25">
      <c r="A76" s="2"/>
      <c r="B76" s="2"/>
      <c r="C76" s="4"/>
      <c r="E76" s="66"/>
      <c r="F76" s="68"/>
      <c r="G76" s="68"/>
      <c r="H76" s="72"/>
      <c r="I76" s="49" t="str">
        <f>IF(G76="","",IF(G76="g","per kg",IF(G76="ml","per L",IF(G76="oz","per lb",IF(G76="kg","per kg",IF(G76="L","per L",IF(G76="lb","per lb",IF(G76="fl oz","per fl oz","per unit"))))))))</f>
        <v/>
      </c>
      <c r="J76" s="27" t="str">
        <f>IF(F76="","",IF(OR(G76="g",G76="ml"),H76/1000*F76,IF(G76="oz",H76/16*F76,H76*F76)))</f>
        <v/>
      </c>
    </row>
    <row r="77" spans="1:11" x14ac:dyDescent="0.25">
      <c r="A77" s="2"/>
      <c r="B77" s="2"/>
      <c r="C77" s="4"/>
      <c r="E77" s="28"/>
      <c r="F77" s="29"/>
      <c r="G77" s="29"/>
      <c r="H77" s="55"/>
      <c r="I77" s="56"/>
      <c r="J77" s="31"/>
    </row>
    <row r="78" spans="1:11" x14ac:dyDescent="0.25">
      <c r="A78" s="2"/>
      <c r="B78" s="2"/>
      <c r="C78" s="4"/>
      <c r="E78" s="33" t="s">
        <v>13</v>
      </c>
      <c r="F78" s="34"/>
      <c r="G78" s="34"/>
      <c r="H78" s="34"/>
      <c r="I78" s="57"/>
      <c r="J78" s="35">
        <f>SUM(J65:J76)</f>
        <v>0</v>
      </c>
      <c r="K78" s="32"/>
    </row>
    <row r="79" spans="1:11" x14ac:dyDescent="0.25">
      <c r="A79" s="2"/>
      <c r="B79" s="2"/>
      <c r="C79" s="4"/>
      <c r="E79" s="36" t="s">
        <v>14</v>
      </c>
      <c r="F79" s="37"/>
      <c r="G79" s="37"/>
      <c r="H79" s="37"/>
      <c r="I79" s="37"/>
      <c r="J79" s="38">
        <f>IFERROR(J78/F62,0)</f>
        <v>0</v>
      </c>
    </row>
    <row r="80" spans="1:11" x14ac:dyDescent="0.25">
      <c r="A80" s="2"/>
      <c r="B80" s="2"/>
      <c r="C80" s="4"/>
      <c r="E80" s="39" t="s">
        <v>15</v>
      </c>
      <c r="F80" s="40"/>
      <c r="G80" s="40"/>
      <c r="H80" s="40"/>
      <c r="I80" s="40"/>
      <c r="J80" s="41">
        <f>F62-J78</f>
        <v>0</v>
      </c>
    </row>
    <row r="81" spans="1:10" x14ac:dyDescent="0.25">
      <c r="A81" s="2"/>
      <c r="B81" s="2"/>
      <c r="C81" s="4"/>
      <c r="E81" s="39" t="s">
        <v>16</v>
      </c>
      <c r="F81" s="40"/>
      <c r="G81" s="40"/>
      <c r="H81" s="40"/>
      <c r="I81" s="40"/>
      <c r="J81" s="42">
        <f>IFERROR(J80/F62,0)</f>
        <v>0</v>
      </c>
    </row>
    <row r="82" spans="1:10" x14ac:dyDescent="0.25">
      <c r="A82" s="2"/>
      <c r="B82" s="2"/>
      <c r="C82" s="4"/>
      <c r="E82" s="43" t="s">
        <v>17</v>
      </c>
      <c r="F82" s="37"/>
      <c r="G82" s="37"/>
      <c r="H82" s="37"/>
      <c r="I82" s="37"/>
      <c r="J82" s="44" t="str">
        <f>IFERROR(INDEX(E65:E76,MATCH(MAX(J65:J76),J65:J76,0)),"-")</f>
        <v>-</v>
      </c>
    </row>
    <row r="83" spans="1:10" ht="27.95" customHeight="1" x14ac:dyDescent="0.25">
      <c r="A83" s="2"/>
      <c r="B83" s="2"/>
      <c r="C83" s="4"/>
      <c r="E83" s="45" t="s">
        <v>18</v>
      </c>
      <c r="F83" s="37"/>
      <c r="G83" s="37"/>
      <c r="H83" s="37"/>
      <c r="I83" s="37"/>
      <c r="J83" s="46">
        <f>Dashboard!F7</f>
        <v>0.3</v>
      </c>
    </row>
    <row r="84" spans="1:10" x14ac:dyDescent="0.25">
      <c r="A84" s="2"/>
      <c r="B84" s="2"/>
      <c r="C84" s="4"/>
      <c r="E84" s="14" t="s">
        <v>22</v>
      </c>
      <c r="F84" s="14"/>
      <c r="G84" s="14"/>
      <c r="H84" s="14"/>
      <c r="I84" s="14"/>
      <c r="J84" s="14"/>
    </row>
    <row r="85" spans="1:10" x14ac:dyDescent="0.25">
      <c r="A85" s="2"/>
      <c r="B85" s="2"/>
      <c r="C85" s="4"/>
      <c r="E85" s="15" t="s">
        <v>6</v>
      </c>
      <c r="F85" s="62" t="s">
        <v>23</v>
      </c>
      <c r="G85" s="62"/>
      <c r="H85" s="62"/>
      <c r="I85" s="16"/>
      <c r="J85" s="16"/>
    </row>
    <row r="86" spans="1:10" ht="12.75" customHeight="1" x14ac:dyDescent="0.25">
      <c r="A86" s="2"/>
      <c r="B86" s="2"/>
      <c r="C86" s="4"/>
      <c r="E86" s="15" t="s">
        <v>7</v>
      </c>
      <c r="F86" s="63">
        <v>0</v>
      </c>
      <c r="G86" s="17"/>
      <c r="H86" s="17"/>
      <c r="I86" s="17"/>
      <c r="J86" s="17"/>
    </row>
    <row r="87" spans="1:10" ht="15.75" thickBot="1" x14ac:dyDescent="0.3">
      <c r="A87" s="2"/>
      <c r="B87" s="2"/>
      <c r="C87" s="4"/>
      <c r="E87" s="18" t="s">
        <v>8</v>
      </c>
      <c r="F87" s="64">
        <v>0.09</v>
      </c>
      <c r="G87" s="17"/>
      <c r="H87" s="17"/>
      <c r="I87" s="17"/>
      <c r="J87" s="17"/>
    </row>
    <row r="88" spans="1:10" ht="15.75" thickTop="1" x14ac:dyDescent="0.25">
      <c r="A88" s="2"/>
      <c r="B88" s="2"/>
      <c r="C88" s="4"/>
      <c r="E88" s="19" t="s">
        <v>9</v>
      </c>
      <c r="F88" s="20">
        <f>IFERROR(F86/(1+F87),0)</f>
        <v>0</v>
      </c>
      <c r="G88" s="17"/>
      <c r="H88" s="17"/>
      <c r="I88" s="17"/>
      <c r="J88" s="17"/>
    </row>
    <row r="89" spans="1:10" x14ac:dyDescent="0.25">
      <c r="A89" s="2"/>
      <c r="B89" s="2"/>
      <c r="C89" s="4"/>
      <c r="E89" s="17"/>
      <c r="F89" s="17"/>
      <c r="G89" s="17"/>
      <c r="H89" s="17"/>
      <c r="I89" s="17"/>
      <c r="J89" s="17"/>
    </row>
    <row r="90" spans="1:10" x14ac:dyDescent="0.25">
      <c r="A90" s="2"/>
      <c r="B90" s="2"/>
      <c r="C90" s="4"/>
      <c r="E90" s="21" t="s">
        <v>10</v>
      </c>
      <c r="F90" s="22" t="s">
        <v>11</v>
      </c>
      <c r="G90" s="22" t="s">
        <v>12</v>
      </c>
      <c r="H90" s="22" t="str">
        <f>"Cost / Bulk ("&amp;$F$3&amp;")"</f>
        <v>Cost / Bulk (CHF)</v>
      </c>
      <c r="I90" s="22" t="s">
        <v>85</v>
      </c>
      <c r="J90" s="23" t="str">
        <f>"Cost / Portion ("&amp;$F$3&amp;")"</f>
        <v>Cost / Portion (CHF)</v>
      </c>
    </row>
    <row r="91" spans="1:10" x14ac:dyDescent="0.25">
      <c r="A91" s="2"/>
      <c r="B91" s="2"/>
      <c r="C91" s="4"/>
      <c r="E91" s="65"/>
      <c r="F91" s="67"/>
      <c r="G91" s="67"/>
      <c r="H91" s="71"/>
      <c r="I91" s="47" t="str">
        <f>IF(G91="","",IF(G91="g","per kg",IF(G91="ml","per L",IF(G91="oz","per lb",IF(G91="kg","per kg",IF(G91="L","per L",IF(G91="lb","per lb",IF(G91="fl oz","per fl oz","per unit"))))))))</f>
        <v/>
      </c>
      <c r="J91" s="25" t="str">
        <f>IF(F91="","",IF(OR(G91="g",G91="ml"),H91/1000*F91,IF(G91="oz",H91/16*F91,H91*F91)))</f>
        <v/>
      </c>
    </row>
    <row r="92" spans="1:10" ht="27.95" customHeight="1" x14ac:dyDescent="0.25">
      <c r="A92" s="2"/>
      <c r="B92" s="2"/>
      <c r="C92" s="4"/>
      <c r="E92" s="65"/>
      <c r="F92" s="67"/>
      <c r="G92" s="67"/>
      <c r="H92" s="71"/>
      <c r="I92" s="47" t="str">
        <f>IF(G92="","",IF(G92="g","per kg",IF(G92="ml","per L",IF(G92="oz","per lb",IF(G92="kg","per kg",IF(G92="L","per L",IF(G92="lb","per lb",IF(G92="fl oz","per fl oz","per unit"))))))))</f>
        <v/>
      </c>
      <c r="J92" s="25" t="str">
        <f>IF(F92="","",IF(OR(G92="g",G92="ml"),H92/1000*F92,IF(G92="oz",H92/16*F92,H92*F92)))</f>
        <v/>
      </c>
    </row>
    <row r="93" spans="1:10" x14ac:dyDescent="0.25">
      <c r="A93" s="2"/>
      <c r="B93" s="2"/>
      <c r="C93" s="4"/>
      <c r="E93" s="65"/>
      <c r="F93" s="67"/>
      <c r="G93" s="67"/>
      <c r="H93" s="71"/>
      <c r="I93" s="47" t="str">
        <f>IF(G93="","",IF(G93="g","per kg",IF(G93="ml","per L",IF(G93="oz","per lb",IF(G93="kg","per kg",IF(G93="L","per L",IF(G93="lb","per lb",IF(G93="fl oz","per fl oz","per unit"))))))))</f>
        <v/>
      </c>
      <c r="J93" s="25" t="str">
        <f>IF(F93="","",IF(OR(G93="g",G93="ml"),H93/1000*F93,IF(G93="oz",H93/16*F93,H93*F93)))</f>
        <v/>
      </c>
    </row>
    <row r="94" spans="1:10" x14ac:dyDescent="0.25">
      <c r="A94" s="2"/>
      <c r="B94" s="2"/>
      <c r="C94" s="4"/>
      <c r="E94" s="65"/>
      <c r="F94" s="67"/>
      <c r="G94" s="67"/>
      <c r="H94" s="71"/>
      <c r="I94" s="47" t="str">
        <f>IF(G94="","",IF(G94="g","per kg",IF(G94="ml","per L",IF(G94="oz","per lb",IF(G94="kg","per kg",IF(G94="L","per L",IF(G94="lb","per lb",IF(G94="fl oz","per fl oz","per unit"))))))))</f>
        <v/>
      </c>
      <c r="J94" s="25" t="str">
        <f>IF(F94="","",IF(OR(G94="g",G94="ml"),H94/1000*F94,IF(G94="oz",H94/16*F94,H94*F94)))</f>
        <v/>
      </c>
    </row>
    <row r="95" spans="1:10" x14ac:dyDescent="0.25">
      <c r="A95" s="2"/>
      <c r="B95" s="2"/>
      <c r="C95" s="4"/>
      <c r="E95" s="65"/>
      <c r="F95" s="67"/>
      <c r="G95" s="67" t="s">
        <v>88</v>
      </c>
      <c r="H95" s="71"/>
      <c r="I95" s="47" t="str">
        <f>IF(G95="","",IF(G95="g","per kg",IF(G95="ml","per L",IF(G95="oz","per lb",IF(G95="kg","per kg",IF(G95="L","per L",IF(G95="lb","per lb",IF(G95="fl oz","per fl oz","per unit"))))))))</f>
        <v>per L</v>
      </c>
      <c r="J95" s="25" t="str">
        <f>IF(F95="","",IF(OR(G95="g",G95="ml"),H95/1000*F95,IF(G95="oz",H95/16*F95,H95*F95)))</f>
        <v/>
      </c>
    </row>
    <row r="96" spans="1:10" x14ac:dyDescent="0.25">
      <c r="A96" s="2"/>
      <c r="B96" s="2"/>
      <c r="C96" s="4"/>
      <c r="E96" s="65"/>
      <c r="F96" s="67"/>
      <c r="G96" s="67"/>
      <c r="H96" s="71"/>
      <c r="I96" s="47" t="str">
        <f>IF(G96="","",IF(G96="g","per kg",IF(G96="ml","per L",IF(G96="oz","per lb",IF(G96="kg","per kg",IF(G96="L","per L",IF(G96="lb","per lb",IF(G96="fl oz","per fl oz","per unit"))))))))</f>
        <v/>
      </c>
      <c r="J96" s="25" t="str">
        <f>IF(F96="","",IF(OR(G96="g",G96="ml"),H96/1000*F96,IF(G96="oz",H96/16*F96,H96*F96)))</f>
        <v/>
      </c>
    </row>
    <row r="97" spans="1:11" x14ac:dyDescent="0.25">
      <c r="A97" s="2"/>
      <c r="B97" s="2"/>
      <c r="C97" s="4"/>
      <c r="E97" s="65"/>
      <c r="F97" s="67"/>
      <c r="G97" s="67"/>
      <c r="H97" s="71"/>
      <c r="I97" s="47" t="str">
        <f>IF(G97="","",IF(G97="g","per kg",IF(G97="ml","per L",IF(G97="oz","per lb",IF(G97="kg","per kg",IF(G97="L","per L",IF(G97="lb","per lb",IF(G97="fl oz","per fl oz","per unit"))))))))</f>
        <v/>
      </c>
      <c r="J97" s="25" t="str">
        <f>IF(F97="","",IF(OR(G97="g",G97="ml"),H97/1000*F97,IF(G97="oz",H97/16*F97,H97*F97)))</f>
        <v/>
      </c>
    </row>
    <row r="98" spans="1:11" x14ac:dyDescent="0.25">
      <c r="A98" s="2"/>
      <c r="B98" s="2"/>
      <c r="C98" s="4"/>
      <c r="E98" s="65"/>
      <c r="F98" s="67"/>
      <c r="G98" s="67"/>
      <c r="H98" s="71"/>
      <c r="I98" s="47" t="str">
        <f>IF(G98="","",IF(G98="g","per kg",IF(G98="ml","per L",IF(G98="oz","per lb",IF(G98="kg","per kg",IF(G98="L","per L",IF(G98="lb","per lb",IF(G98="fl oz","per fl oz","per unit"))))))))</f>
        <v/>
      </c>
      <c r="J98" s="25" t="str">
        <f>IF(F98="","",IF(OR(G98="g",G98="ml"),H98/1000*F98,IF(G98="oz",H98/16*F98,H98*F98)))</f>
        <v/>
      </c>
    </row>
    <row r="99" spans="1:11" x14ac:dyDescent="0.25">
      <c r="A99" s="2"/>
      <c r="B99" s="2"/>
      <c r="C99" s="4"/>
      <c r="E99" s="65"/>
      <c r="F99" s="67"/>
      <c r="G99" s="67"/>
      <c r="H99" s="71"/>
      <c r="I99" s="47" t="str">
        <f>IF(G99="","",IF(G99="g","per kg",IF(G99="ml","per L",IF(G99="oz","per lb",IF(G99="kg","per kg",IF(G99="L","per L",IF(G99="lb","per lb",IF(G99="fl oz","per fl oz","per unit"))))))))</f>
        <v/>
      </c>
      <c r="J99" s="25" t="str">
        <f>IF(F99="","",IF(OR(G99="g",G99="ml"),H99/1000*F99,IF(G99="oz",H99/16*F99,H99*F99)))</f>
        <v/>
      </c>
    </row>
    <row r="100" spans="1:11" x14ac:dyDescent="0.25">
      <c r="A100" s="2"/>
      <c r="B100" s="2"/>
      <c r="C100" s="4"/>
      <c r="E100" s="65"/>
      <c r="F100" s="67"/>
      <c r="G100" s="67"/>
      <c r="H100" s="71"/>
      <c r="I100" s="47" t="str">
        <f>IF(G100="","",IF(G100="g","per kg",IF(G100="ml","per L",IF(G100="oz","per lb",IF(G100="kg","per kg",IF(G100="L","per L",IF(G100="lb","per lb",IF(G100="fl oz","per fl oz","per unit"))))))))</f>
        <v/>
      </c>
      <c r="J100" s="25" t="str">
        <f>IF(F100="","",IF(OR(G100="g",G100="ml"),H100/1000*F100,IF(G100="oz",H100/16*F100,H100*F100)))</f>
        <v/>
      </c>
    </row>
    <row r="101" spans="1:11" x14ac:dyDescent="0.25">
      <c r="A101" s="2"/>
      <c r="B101" s="2"/>
      <c r="C101" s="4"/>
      <c r="E101" s="65"/>
      <c r="F101" s="67"/>
      <c r="G101" s="67"/>
      <c r="H101" s="71"/>
      <c r="I101" s="47" t="str">
        <f>IF(G101="","",IF(G101="g","per kg",IF(G101="ml","per L",IF(G101="oz","per lb",IF(G101="kg","per kg",IF(G101="L","per L",IF(G101="lb","per lb",IF(G101="fl oz","per fl oz","per unit"))))))))</f>
        <v/>
      </c>
      <c r="J101" s="25" t="str">
        <f>IF(F101="","",IF(OR(G101="g",G101="ml"),H101/1000*F101,IF(G101="oz",H101/16*F101,H101*F101)))</f>
        <v/>
      </c>
    </row>
    <row r="102" spans="1:11" x14ac:dyDescent="0.25">
      <c r="A102" s="2"/>
      <c r="B102" s="2"/>
      <c r="C102" s="4"/>
      <c r="E102" s="66"/>
      <c r="F102" s="68"/>
      <c r="G102" s="68"/>
      <c r="H102" s="72"/>
      <c r="I102" s="49" t="str">
        <f>IF(G102="","",IF(G102="g","per kg",IF(G102="ml","per L",IF(G102="oz","per lb",IF(G102="kg","per kg",IF(G102="L","per L",IF(G102="lb","per lb",IF(G102="fl oz","per fl oz","per unit"))))))))</f>
        <v/>
      </c>
      <c r="J102" s="27" t="str">
        <f>IF(F102="","",IF(OR(G102="g",G102="ml"),H102/1000*F102,IF(G102="oz",H102/16*F102,H102*F102)))</f>
        <v/>
      </c>
    </row>
    <row r="103" spans="1:11" x14ac:dyDescent="0.25">
      <c r="A103" s="2"/>
      <c r="B103" s="2"/>
      <c r="C103" s="4"/>
      <c r="E103" s="28"/>
      <c r="F103" s="29"/>
      <c r="G103" s="29"/>
      <c r="H103" s="55"/>
      <c r="I103" s="56"/>
      <c r="J103" s="58"/>
      <c r="K103" s="32"/>
    </row>
    <row r="104" spans="1:11" x14ac:dyDescent="0.25">
      <c r="A104" s="2"/>
      <c r="B104" s="2"/>
      <c r="C104" s="4"/>
      <c r="E104" s="33" t="s">
        <v>13</v>
      </c>
      <c r="F104" s="34"/>
      <c r="G104" s="34"/>
      <c r="H104" s="34"/>
      <c r="I104" s="34"/>
      <c r="J104" s="35">
        <f>SUM(J91:J102)</f>
        <v>0</v>
      </c>
      <c r="K104" s="32"/>
    </row>
    <row r="105" spans="1:11" x14ac:dyDescent="0.25">
      <c r="A105" s="2"/>
      <c r="B105" s="2"/>
      <c r="C105" s="4"/>
      <c r="E105" s="36" t="s">
        <v>14</v>
      </c>
      <c r="F105" s="37"/>
      <c r="G105" s="37"/>
      <c r="H105" s="37"/>
      <c r="I105" s="37"/>
      <c r="J105" s="38">
        <f>IFERROR(J104/F88,0)</f>
        <v>0</v>
      </c>
    </row>
    <row r="106" spans="1:11" x14ac:dyDescent="0.25">
      <c r="A106" s="2"/>
      <c r="B106" s="2"/>
      <c r="C106" s="4"/>
      <c r="E106" s="39" t="s">
        <v>15</v>
      </c>
      <c r="F106" s="40"/>
      <c r="G106" s="40"/>
      <c r="H106" s="40"/>
      <c r="I106" s="40"/>
      <c r="J106" s="41">
        <f>F88-J104</f>
        <v>0</v>
      </c>
    </row>
    <row r="107" spans="1:11" x14ac:dyDescent="0.25">
      <c r="A107" s="2"/>
      <c r="B107" s="2"/>
      <c r="C107" s="4"/>
      <c r="E107" s="39" t="s">
        <v>16</v>
      </c>
      <c r="F107" s="40"/>
      <c r="G107" s="40"/>
      <c r="H107" s="40"/>
      <c r="I107" s="40"/>
      <c r="J107" s="42">
        <f>IFERROR(J106/F88,0)</f>
        <v>0</v>
      </c>
    </row>
    <row r="108" spans="1:11" ht="12.75" customHeight="1" x14ac:dyDescent="0.25">
      <c r="A108" s="2"/>
      <c r="B108" s="2"/>
      <c r="C108" s="4"/>
      <c r="E108" s="43" t="s">
        <v>17</v>
      </c>
      <c r="F108" s="37"/>
      <c r="G108" s="37"/>
      <c r="H108" s="37"/>
      <c r="I108" s="37"/>
      <c r="J108" s="44" t="str">
        <f>IFERROR(INDEX(E91:E102,MATCH(MAX(J91:J102),J91:J102,0)),"-")</f>
        <v>-</v>
      </c>
    </row>
    <row r="109" spans="1:11" ht="27.95" customHeight="1" x14ac:dyDescent="0.25">
      <c r="A109" s="2"/>
      <c r="B109" s="2"/>
      <c r="C109" s="4"/>
      <c r="E109" s="45" t="s">
        <v>18</v>
      </c>
      <c r="F109" s="37"/>
      <c r="G109" s="37"/>
      <c r="H109" s="37"/>
      <c r="I109" s="37"/>
      <c r="J109" s="46">
        <f>Dashboard!F7</f>
        <v>0.3</v>
      </c>
    </row>
    <row r="110" spans="1:11" x14ac:dyDescent="0.25">
      <c r="A110" s="2"/>
      <c r="B110" s="2"/>
      <c r="C110" s="4"/>
      <c r="E110" s="14" t="s">
        <v>24</v>
      </c>
      <c r="F110" s="14"/>
      <c r="G110" s="14"/>
      <c r="H110" s="14"/>
      <c r="I110" s="14"/>
      <c r="J110" s="14"/>
    </row>
    <row r="111" spans="1:11" x14ac:dyDescent="0.25">
      <c r="A111" s="2"/>
      <c r="B111" s="2"/>
      <c r="C111" s="4"/>
      <c r="E111" s="15" t="s">
        <v>6</v>
      </c>
      <c r="F111" s="62" t="s">
        <v>25</v>
      </c>
      <c r="G111" s="62"/>
      <c r="H111" s="62"/>
      <c r="I111" s="16"/>
      <c r="J111" s="16"/>
    </row>
    <row r="112" spans="1:11" x14ac:dyDescent="0.25">
      <c r="A112" s="2"/>
      <c r="B112" s="2"/>
      <c r="C112" s="4"/>
      <c r="E112" s="15" t="s">
        <v>7</v>
      </c>
      <c r="F112" s="63">
        <v>0</v>
      </c>
      <c r="G112" s="17"/>
      <c r="H112" s="17"/>
      <c r="I112" s="17"/>
      <c r="J112" s="17"/>
    </row>
    <row r="113" spans="1:11" ht="15.75" thickBot="1" x14ac:dyDescent="0.3">
      <c r="A113" s="2"/>
      <c r="B113" s="2"/>
      <c r="C113" s="4"/>
      <c r="E113" s="18" t="s">
        <v>8</v>
      </c>
      <c r="F113" s="64">
        <v>0.09</v>
      </c>
      <c r="G113" s="17"/>
      <c r="H113" s="17"/>
      <c r="I113" s="17"/>
      <c r="J113" s="17"/>
    </row>
    <row r="114" spans="1:11" ht="27.95" customHeight="1" thickTop="1" x14ac:dyDescent="0.25">
      <c r="A114" s="2"/>
      <c r="B114" s="2"/>
      <c r="C114" s="4"/>
      <c r="E114" s="19" t="s">
        <v>9</v>
      </c>
      <c r="F114" s="20">
        <f>IFERROR(F112/(1+F113),0)</f>
        <v>0</v>
      </c>
      <c r="G114" s="17"/>
      <c r="H114" s="17"/>
      <c r="I114" s="17"/>
      <c r="J114" s="17"/>
    </row>
    <row r="115" spans="1:11" x14ac:dyDescent="0.25">
      <c r="A115" s="2"/>
      <c r="B115" s="2"/>
      <c r="C115" s="4"/>
      <c r="E115" s="17"/>
      <c r="F115" s="17"/>
      <c r="G115" s="17"/>
      <c r="H115" s="17"/>
      <c r="I115" s="17"/>
      <c r="J115" s="17"/>
    </row>
    <row r="116" spans="1:11" x14ac:dyDescent="0.25">
      <c r="A116" s="2"/>
      <c r="B116" s="2"/>
      <c r="C116" s="4"/>
      <c r="E116" s="21" t="s">
        <v>10</v>
      </c>
      <c r="F116" s="22" t="s">
        <v>11</v>
      </c>
      <c r="G116" s="22" t="s">
        <v>12</v>
      </c>
      <c r="H116" s="22" t="str">
        <f>"Cost / Bulk ("&amp;$F$3&amp;")"</f>
        <v>Cost / Bulk (CHF)</v>
      </c>
      <c r="I116" s="22" t="s">
        <v>85</v>
      </c>
      <c r="J116" s="23" t="str">
        <f>"Cost / Portion ("&amp;$F$3&amp;")"</f>
        <v>Cost / Portion (CHF)</v>
      </c>
    </row>
    <row r="117" spans="1:11" x14ac:dyDescent="0.25">
      <c r="A117" s="2"/>
      <c r="B117" s="2"/>
      <c r="C117" s="4"/>
      <c r="E117" s="65"/>
      <c r="F117" s="67"/>
      <c r="G117" s="67"/>
      <c r="H117" s="71"/>
      <c r="I117" s="47" t="str">
        <f>IF(G117="","",IF(G117="g","per kg",IF(G117="ml","per L",IF(G117="oz","per lb",IF(G117="kg","per kg",IF(G117="L","per L",IF(G117="lb","per lb",IF(G117="fl oz","per fl oz","per unit"))))))))</f>
        <v/>
      </c>
      <c r="J117" s="25" t="str">
        <f>IF(F117="","",IF(OR(G117="g",G117="ml"),H117/1000*F117,IF(G117="oz",H117/16*F117,H117*F117)))</f>
        <v/>
      </c>
    </row>
    <row r="118" spans="1:11" x14ac:dyDescent="0.25">
      <c r="A118" s="2"/>
      <c r="B118" s="2"/>
      <c r="C118" s="4"/>
      <c r="E118" s="65"/>
      <c r="F118" s="67"/>
      <c r="G118" s="67"/>
      <c r="H118" s="71"/>
      <c r="I118" s="47" t="str">
        <f>IF(G118="","",IF(G118="g","per kg",IF(G118="ml","per L",IF(G118="oz","per lb",IF(G118="kg","per kg",IF(G118="L","per L",IF(G118="lb","per lb",IF(G118="fl oz","per fl oz","per unit"))))))))</f>
        <v/>
      </c>
      <c r="J118" s="25" t="str">
        <f>IF(F118="","",IF(OR(G118="g",G118="ml"),H118/1000*F118,IF(G118="oz",H118/16*F118,H118*F118)))</f>
        <v/>
      </c>
    </row>
    <row r="119" spans="1:11" x14ac:dyDescent="0.25">
      <c r="A119" s="2"/>
      <c r="B119" s="2"/>
      <c r="C119" s="4"/>
      <c r="E119" s="65"/>
      <c r="F119" s="67"/>
      <c r="G119" s="67"/>
      <c r="H119" s="71"/>
      <c r="I119" s="47" t="str">
        <f>IF(G119="","",IF(G119="g","per kg",IF(G119="ml","per L",IF(G119="oz","per lb",IF(G119="kg","per kg",IF(G119="L","per L",IF(G119="lb","per lb",IF(G119="fl oz","per fl oz","per unit"))))))))</f>
        <v/>
      </c>
      <c r="J119" s="25" t="str">
        <f>IF(F119="","",IF(OR(G119="g",G119="ml"),H119/1000*F119,IF(G119="oz",H119/16*F119,H119*F119)))</f>
        <v/>
      </c>
    </row>
    <row r="120" spans="1:11" x14ac:dyDescent="0.25">
      <c r="A120" s="2"/>
      <c r="B120" s="2"/>
      <c r="C120" s="4"/>
      <c r="E120" s="65"/>
      <c r="F120" s="67"/>
      <c r="G120" s="67"/>
      <c r="H120" s="71"/>
      <c r="I120" s="47" t="str">
        <f>IF(G120="","",IF(G120="g","per kg",IF(G120="ml","per L",IF(G120="oz","per lb",IF(G120="kg","per kg",IF(G120="L","per L",IF(G120="lb","per lb",IF(G120="fl oz","per fl oz","per unit"))))))))</f>
        <v/>
      </c>
      <c r="J120" s="25" t="str">
        <f>IF(F120="","",IF(OR(G120="g",G120="ml"),H120/1000*F120,IF(G120="oz",H120/16*F120,H120*F120)))</f>
        <v/>
      </c>
    </row>
    <row r="121" spans="1:11" x14ac:dyDescent="0.25">
      <c r="A121" s="2"/>
      <c r="B121" s="2"/>
      <c r="C121" s="4"/>
      <c r="E121" s="65"/>
      <c r="F121" s="67"/>
      <c r="G121" s="67"/>
      <c r="H121" s="71"/>
      <c r="I121" s="47" t="str">
        <f>IF(G121="","",IF(G121="g","per kg",IF(G121="ml","per L",IF(G121="oz","per lb",IF(G121="kg","per kg",IF(G121="L","per L",IF(G121="lb","per lb",IF(G121="fl oz","per fl oz","per unit"))))))))</f>
        <v/>
      </c>
      <c r="J121" s="25" t="str">
        <f>IF(F121="","",IF(OR(G121="g",G121="ml"),H121/1000*F121,IF(G121="oz",H121/16*F121,H121*F121)))</f>
        <v/>
      </c>
    </row>
    <row r="122" spans="1:11" x14ac:dyDescent="0.25">
      <c r="A122" s="2"/>
      <c r="B122" s="2"/>
      <c r="C122" s="4"/>
      <c r="E122" s="65"/>
      <c r="F122" s="67"/>
      <c r="G122" s="67"/>
      <c r="H122" s="71"/>
      <c r="I122" s="47" t="str">
        <f>IF(G122="","",IF(G122="g","per kg",IF(G122="ml","per L",IF(G122="oz","per lb",IF(G122="kg","per kg",IF(G122="L","per L",IF(G122="lb","per lb",IF(G122="fl oz","per fl oz","per unit"))))))))</f>
        <v/>
      </c>
      <c r="J122" s="25" t="str">
        <f>IF(F122="","",IF(OR(G122="g",G122="ml"),H122/1000*F122,IF(G122="oz",H122/16*F122,H122*F122)))</f>
        <v/>
      </c>
    </row>
    <row r="123" spans="1:11" x14ac:dyDescent="0.25">
      <c r="A123" s="2"/>
      <c r="B123" s="2"/>
      <c r="C123" s="4"/>
      <c r="E123" s="65"/>
      <c r="F123" s="67"/>
      <c r="G123" s="67"/>
      <c r="H123" s="71"/>
      <c r="I123" s="47" t="str">
        <f>IF(G123="","",IF(G123="g","per kg",IF(G123="ml","per L",IF(G123="oz","per lb",IF(G123="kg","per kg",IF(G123="L","per L",IF(G123="lb","per lb",IF(G123="fl oz","per fl oz","per unit"))))))))</f>
        <v/>
      </c>
      <c r="J123" s="25" t="str">
        <f>IF(F123="","",IF(OR(G123="g",G123="ml"),H123/1000*F123,IF(G123="oz",H123/16*F123,H123*F123)))</f>
        <v/>
      </c>
    </row>
    <row r="124" spans="1:11" x14ac:dyDescent="0.25">
      <c r="A124" s="2"/>
      <c r="B124" s="2"/>
      <c r="C124" s="4"/>
      <c r="E124" s="65"/>
      <c r="F124" s="67"/>
      <c r="G124" s="67"/>
      <c r="H124" s="71"/>
      <c r="I124" s="47" t="str">
        <f>IF(G124="","",IF(G124="g","per kg",IF(G124="ml","per L",IF(G124="oz","per lb",IF(G124="kg","per kg",IF(G124="L","per L",IF(G124="lb","per lb",IF(G124="fl oz","per fl oz","per unit"))))))))</f>
        <v/>
      </c>
      <c r="J124" s="25" t="str">
        <f>IF(F124="","",IF(OR(G124="g",G124="ml"),H124/1000*F124,IF(G124="oz",H124/16*F124,H124*F124)))</f>
        <v/>
      </c>
    </row>
    <row r="125" spans="1:11" x14ac:dyDescent="0.25">
      <c r="A125" s="2"/>
      <c r="B125" s="2"/>
      <c r="C125" s="4"/>
      <c r="E125" s="65"/>
      <c r="F125" s="67"/>
      <c r="G125" s="67"/>
      <c r="H125" s="71"/>
      <c r="I125" s="47" t="str">
        <f>IF(G125="","",IF(G125="g","per kg",IF(G125="ml","per L",IF(G125="oz","per lb",IF(G125="kg","per kg",IF(G125="L","per L",IF(G125="lb","per lb",IF(G125="fl oz","per fl oz","per unit"))))))))</f>
        <v/>
      </c>
      <c r="J125" s="25" t="str">
        <f>IF(F125="","",IF(OR(G125="g",G125="ml"),H125/1000*F125,IF(G125="oz",H125/16*F125,H125*F125)))</f>
        <v/>
      </c>
    </row>
    <row r="126" spans="1:11" x14ac:dyDescent="0.25">
      <c r="A126" s="2"/>
      <c r="B126" s="2"/>
      <c r="C126" s="4"/>
      <c r="E126" s="65"/>
      <c r="F126" s="67"/>
      <c r="G126" s="67"/>
      <c r="H126" s="71"/>
      <c r="I126" s="47" t="str">
        <f>IF(G126="","",IF(G126="g","per kg",IF(G126="ml","per L",IF(G126="oz","per lb",IF(G126="kg","per kg",IF(G126="L","per L",IF(G126="lb","per lb",IF(G126="fl oz","per fl oz","per unit"))))))))</f>
        <v/>
      </c>
      <c r="J126" s="25" t="str">
        <f>IF(F126="","",IF(OR(G126="g",G126="ml"),H126/1000*F126,IF(G126="oz",H126/16*F126,H126*F126)))</f>
        <v/>
      </c>
    </row>
    <row r="127" spans="1:11" x14ac:dyDescent="0.25">
      <c r="A127" s="2"/>
      <c r="B127" s="2"/>
      <c r="C127" s="4"/>
      <c r="E127" s="65"/>
      <c r="F127" s="67"/>
      <c r="G127" s="67"/>
      <c r="H127" s="71"/>
      <c r="I127" s="47" t="str">
        <f>IF(G127="","",IF(G127="g","per kg",IF(G127="ml","per L",IF(G127="oz","per lb",IF(G127="kg","per kg",IF(G127="L","per L",IF(G127="lb","per lb",IF(G127="fl oz","per fl oz","per unit"))))))))</f>
        <v/>
      </c>
      <c r="J127" s="25" t="str">
        <f>IF(F127="","",IF(OR(G127="g",G127="ml"),H127/1000*F127,IF(G127="oz",H127/16*F127,H127*F127)))</f>
        <v/>
      </c>
      <c r="K127" s="48"/>
    </row>
    <row r="128" spans="1:11" x14ac:dyDescent="0.25">
      <c r="A128" s="2"/>
      <c r="B128" s="2"/>
      <c r="C128" s="4"/>
      <c r="E128" s="66"/>
      <c r="F128" s="68"/>
      <c r="G128" s="68"/>
      <c r="H128" s="72"/>
      <c r="I128" s="49" t="str">
        <f>IF(G128="","",IF(G128="g","per kg",IF(G128="ml","per L",IF(G128="oz","per lb",IF(G128="kg","per kg",IF(G128="L","per L",IF(G128="lb","per lb",IF(G128="fl oz","per fl oz","per unit"))))))))</f>
        <v/>
      </c>
      <c r="J128" s="27" t="str">
        <f>IF(F128="","",IF(OR(G128="g",G128="ml"),H128/1000*F128,IF(G128="oz",H128/16*F128,H128*F128)))</f>
        <v/>
      </c>
    </row>
    <row r="129" spans="1:11" x14ac:dyDescent="0.25">
      <c r="A129" s="2"/>
      <c r="B129" s="2"/>
      <c r="C129" s="4"/>
      <c r="E129" s="50"/>
      <c r="F129" s="51"/>
      <c r="G129" s="51"/>
      <c r="H129" s="51"/>
      <c r="I129" s="59"/>
      <c r="J129" s="60"/>
      <c r="K129" s="32"/>
    </row>
    <row r="130" spans="1:11" ht="12.75" customHeight="1" x14ac:dyDescent="0.25">
      <c r="A130" s="2"/>
      <c r="B130" s="2"/>
      <c r="C130" s="4"/>
      <c r="E130" s="33" t="s">
        <v>13</v>
      </c>
      <c r="F130" s="34"/>
      <c r="G130" s="34"/>
      <c r="H130" s="34"/>
      <c r="I130" s="57"/>
      <c r="J130" s="35">
        <f>SUM(J117:J128)</f>
        <v>0</v>
      </c>
      <c r="K130" s="32"/>
    </row>
    <row r="131" spans="1:11" x14ac:dyDescent="0.25">
      <c r="A131" s="2"/>
      <c r="B131" s="2"/>
      <c r="C131" s="4"/>
      <c r="E131" s="36" t="s">
        <v>14</v>
      </c>
      <c r="F131" s="37"/>
      <c r="G131" s="37"/>
      <c r="H131" s="37"/>
      <c r="I131" s="37"/>
      <c r="J131" s="38">
        <f>IFERROR(J130/F114,0)</f>
        <v>0</v>
      </c>
      <c r="K131" s="32"/>
    </row>
    <row r="132" spans="1:11" x14ac:dyDescent="0.25">
      <c r="A132" s="2"/>
      <c r="B132" s="2"/>
      <c r="C132" s="4"/>
      <c r="E132" s="39" t="s">
        <v>15</v>
      </c>
      <c r="F132" s="40"/>
      <c r="G132" s="40"/>
      <c r="H132" s="40"/>
      <c r="I132" s="40"/>
      <c r="J132" s="41">
        <f>F114-J130</f>
        <v>0</v>
      </c>
    </row>
    <row r="133" spans="1:11" x14ac:dyDescent="0.25">
      <c r="A133" s="2"/>
      <c r="B133" s="2"/>
      <c r="C133" s="4"/>
      <c r="E133" s="39" t="s">
        <v>16</v>
      </c>
      <c r="F133" s="40"/>
      <c r="G133" s="40"/>
      <c r="H133" s="40"/>
      <c r="I133" s="40"/>
      <c r="J133" s="42">
        <f>IFERROR(J132/F114,0)</f>
        <v>0</v>
      </c>
    </row>
    <row r="134" spans="1:11" x14ac:dyDescent="0.25">
      <c r="A134" s="2"/>
      <c r="B134" s="2"/>
      <c r="C134" s="4"/>
      <c r="E134" s="43" t="s">
        <v>17</v>
      </c>
      <c r="F134" s="37"/>
      <c r="G134" s="37"/>
      <c r="H134" s="37"/>
      <c r="I134" s="37"/>
      <c r="J134" s="44" t="str">
        <f>IFERROR(INDEX(E117:E128,MATCH(MAX(J117:J128),J117:J128,0)),"-")</f>
        <v>-</v>
      </c>
    </row>
    <row r="135" spans="1:11" x14ac:dyDescent="0.25">
      <c r="A135" s="2"/>
      <c r="B135" s="2"/>
      <c r="C135" s="4"/>
      <c r="E135" s="45" t="s">
        <v>18</v>
      </c>
      <c r="F135" s="37"/>
      <c r="G135" s="37"/>
      <c r="H135" s="37"/>
      <c r="I135" s="37"/>
      <c r="J135" s="46">
        <f>Dashboard!F7</f>
        <v>0.3</v>
      </c>
    </row>
    <row r="136" spans="1:11" ht="27.95" customHeight="1" x14ac:dyDescent="0.25">
      <c r="A136" s="2"/>
      <c r="B136" s="2"/>
      <c r="C136" s="4"/>
      <c r="E136" s="7"/>
      <c r="F136" s="7"/>
      <c r="G136" s="7"/>
      <c r="H136" s="7"/>
      <c r="I136" s="7"/>
      <c r="J136" s="7"/>
    </row>
    <row r="137" spans="1:11" x14ac:dyDescent="0.25">
      <c r="A137" s="2"/>
      <c r="B137" s="2"/>
      <c r="C137" s="4"/>
      <c r="E137" s="7"/>
      <c r="F137" s="7"/>
      <c r="G137" s="7"/>
      <c r="H137" s="7"/>
      <c r="I137" s="7"/>
      <c r="J137" s="7"/>
    </row>
    <row r="138" spans="1:11" x14ac:dyDescent="0.25">
      <c r="A138" s="2"/>
      <c r="B138" s="2"/>
      <c r="C138" s="4"/>
      <c r="E138" s="7"/>
      <c r="F138" s="7"/>
      <c r="G138" s="7"/>
      <c r="H138" s="7"/>
      <c r="I138" s="7"/>
      <c r="J138" s="7"/>
    </row>
    <row r="139" spans="1:11" x14ac:dyDescent="0.25">
      <c r="A139" s="2"/>
      <c r="B139" s="2"/>
      <c r="C139" s="4"/>
      <c r="E139" s="7"/>
      <c r="F139" s="7"/>
      <c r="G139" s="7"/>
      <c r="H139" s="7"/>
      <c r="I139" s="7"/>
      <c r="J139" s="7"/>
    </row>
    <row r="140" spans="1:11" x14ac:dyDescent="0.25">
      <c r="A140" s="2"/>
      <c r="B140" s="2"/>
      <c r="C140" s="4"/>
      <c r="E140" s="7"/>
      <c r="F140" s="7"/>
      <c r="G140" s="7"/>
      <c r="H140" s="7"/>
      <c r="I140" s="7"/>
      <c r="J140" s="7"/>
    </row>
    <row r="141" spans="1:11" x14ac:dyDescent="0.25">
      <c r="A141" s="2"/>
      <c r="B141" s="2"/>
      <c r="C141" s="4"/>
      <c r="E141" s="7"/>
      <c r="F141" s="7"/>
      <c r="G141" s="7"/>
      <c r="H141" s="7"/>
      <c r="I141" s="7"/>
      <c r="J141" s="7"/>
    </row>
    <row r="142" spans="1:11" x14ac:dyDescent="0.25">
      <c r="A142" s="2"/>
      <c r="B142" s="2"/>
      <c r="C142" s="4"/>
      <c r="E142" s="7"/>
      <c r="F142" s="7"/>
      <c r="G142" s="7"/>
      <c r="H142" s="7"/>
      <c r="I142" s="7"/>
      <c r="J142" s="7"/>
    </row>
    <row r="143" spans="1:11" x14ac:dyDescent="0.25">
      <c r="A143" s="2"/>
      <c r="B143" s="2"/>
      <c r="C143" s="4"/>
      <c r="E143" s="7"/>
      <c r="F143" s="7"/>
      <c r="G143" s="7"/>
      <c r="H143" s="7"/>
      <c r="I143" s="7"/>
      <c r="J143" s="7"/>
    </row>
    <row r="144" spans="1:11" x14ac:dyDescent="0.25">
      <c r="A144" s="2"/>
      <c r="B144" s="2"/>
      <c r="C144" s="4"/>
      <c r="E144" s="7"/>
      <c r="F144" s="7"/>
      <c r="G144" s="7"/>
      <c r="H144" s="7"/>
      <c r="I144" s="7"/>
      <c r="J144" s="7"/>
    </row>
    <row r="145" spans="1:10" x14ac:dyDescent="0.25">
      <c r="A145" s="2"/>
      <c r="B145" s="2"/>
      <c r="C145" s="4"/>
      <c r="E145" s="7"/>
      <c r="F145" s="7"/>
      <c r="G145" s="7"/>
      <c r="H145" s="7"/>
      <c r="I145" s="7"/>
      <c r="J145" s="7"/>
    </row>
    <row r="146" spans="1:10" x14ac:dyDescent="0.25">
      <c r="A146" s="2"/>
      <c r="B146" s="2"/>
      <c r="C146" s="4"/>
      <c r="E146" s="7"/>
      <c r="F146" s="7"/>
      <c r="G146" s="7"/>
      <c r="H146" s="7"/>
      <c r="I146" s="7"/>
      <c r="J146" s="7"/>
    </row>
    <row r="147" spans="1:10" x14ac:dyDescent="0.25">
      <c r="A147" s="2"/>
      <c r="B147" s="2"/>
      <c r="C147" s="4"/>
      <c r="E147" s="7"/>
      <c r="F147" s="7"/>
      <c r="G147" s="7"/>
      <c r="H147" s="7"/>
      <c r="I147" s="7"/>
      <c r="J147" s="7"/>
    </row>
    <row r="148" spans="1:10" x14ac:dyDescent="0.25">
      <c r="E148" s="7"/>
      <c r="F148" s="7"/>
      <c r="G148" s="7"/>
      <c r="H148" s="7"/>
      <c r="I148" s="7"/>
      <c r="J148" s="7"/>
    </row>
    <row r="149" spans="1:10" x14ac:dyDescent="0.25">
      <c r="E149" s="7"/>
      <c r="F149" s="7"/>
      <c r="G149" s="7"/>
      <c r="H149" s="7"/>
      <c r="I149" s="7"/>
      <c r="J149" s="7"/>
    </row>
    <row r="150" spans="1:10" x14ac:dyDescent="0.25">
      <c r="E150" s="7"/>
      <c r="F150" s="7"/>
      <c r="G150" s="7"/>
      <c r="H150" s="7"/>
      <c r="I150" s="7"/>
      <c r="J150" s="7"/>
    </row>
    <row r="151" spans="1:10" ht="12.75" customHeight="1" x14ac:dyDescent="0.25">
      <c r="E151" s="7"/>
      <c r="F151" s="7"/>
      <c r="G151" s="7"/>
      <c r="H151" s="7"/>
      <c r="I151" s="7"/>
      <c r="J151" s="7"/>
    </row>
    <row r="152" spans="1:10" x14ac:dyDescent="0.25">
      <c r="E152" s="7"/>
      <c r="F152" s="7"/>
      <c r="G152" s="7"/>
      <c r="H152" s="7"/>
      <c r="I152" s="7"/>
      <c r="J152" s="7"/>
    </row>
    <row r="153" spans="1:10" x14ac:dyDescent="0.25">
      <c r="E153" s="7"/>
      <c r="F153" s="7"/>
      <c r="G153" s="7"/>
      <c r="H153" s="7"/>
      <c r="I153" s="7"/>
      <c r="J153" s="7"/>
    </row>
    <row r="154" spans="1:10" x14ac:dyDescent="0.25">
      <c r="E154" s="7"/>
      <c r="F154" s="7"/>
      <c r="G154" s="7"/>
      <c r="H154" s="7"/>
      <c r="I154" s="7"/>
      <c r="J154" s="7"/>
    </row>
    <row r="155" spans="1:10" x14ac:dyDescent="0.25">
      <c r="E155" s="7"/>
      <c r="F155" s="7"/>
      <c r="G155" s="7"/>
      <c r="H155" s="7"/>
      <c r="I155" s="7"/>
      <c r="J155" s="7"/>
    </row>
    <row r="156" spans="1:10" x14ac:dyDescent="0.25">
      <c r="E156" s="7"/>
      <c r="F156" s="7"/>
      <c r="G156" s="7"/>
      <c r="H156" s="7"/>
      <c r="I156" s="7"/>
      <c r="J156" s="7"/>
    </row>
    <row r="157" spans="1:10" ht="27.95" customHeight="1" x14ac:dyDescent="0.25">
      <c r="E157" s="7"/>
      <c r="F157" s="7"/>
      <c r="G157" s="7"/>
      <c r="H157" s="7"/>
      <c r="I157" s="7"/>
      <c r="J157" s="7"/>
    </row>
    <row r="158" spans="1:10" x14ac:dyDescent="0.25">
      <c r="E158" s="7"/>
      <c r="F158" s="7"/>
      <c r="G158" s="7"/>
      <c r="H158" s="7"/>
      <c r="I158" s="7"/>
      <c r="J158" s="7"/>
    </row>
    <row r="159" spans="1:10" x14ac:dyDescent="0.25">
      <c r="E159" s="7"/>
      <c r="F159" s="7"/>
      <c r="G159" s="7"/>
      <c r="H159" s="7"/>
      <c r="I159" s="7"/>
      <c r="J159" s="7"/>
    </row>
    <row r="160" spans="1:10" x14ac:dyDescent="0.25">
      <c r="E160" s="7"/>
      <c r="F160" s="7"/>
      <c r="G160" s="7"/>
      <c r="H160" s="7"/>
      <c r="I160" s="7"/>
      <c r="J160" s="7"/>
    </row>
    <row r="161" spans="5:10" x14ac:dyDescent="0.25">
      <c r="E161" s="7"/>
      <c r="F161" s="7"/>
      <c r="G161" s="7"/>
      <c r="H161" s="7"/>
      <c r="I161" s="7"/>
      <c r="J161" s="7"/>
    </row>
    <row r="162" spans="5:10" x14ac:dyDescent="0.25">
      <c r="E162" s="7"/>
      <c r="F162" s="7"/>
      <c r="G162" s="7"/>
      <c r="H162" s="7"/>
      <c r="I162" s="7"/>
      <c r="J162" s="7"/>
    </row>
    <row r="163" spans="5:10" x14ac:dyDescent="0.25">
      <c r="E163" s="7"/>
      <c r="F163" s="7"/>
      <c r="G163" s="7"/>
      <c r="H163" s="7"/>
      <c r="I163" s="7"/>
      <c r="J163" s="7"/>
    </row>
    <row r="164" spans="5:10" x14ac:dyDescent="0.25">
      <c r="E164" s="7"/>
      <c r="F164" s="7"/>
      <c r="G164" s="7"/>
      <c r="H164" s="7"/>
      <c r="I164" s="7"/>
      <c r="J164" s="7"/>
    </row>
    <row r="165" spans="5:10" x14ac:dyDescent="0.25">
      <c r="E165" s="7"/>
      <c r="F165" s="7"/>
      <c r="G165" s="7"/>
      <c r="H165" s="7"/>
      <c r="I165" s="7"/>
      <c r="J165" s="7"/>
    </row>
    <row r="166" spans="5:10" x14ac:dyDescent="0.25">
      <c r="E166" s="7"/>
      <c r="F166" s="7"/>
      <c r="G166" s="7"/>
      <c r="H166" s="7"/>
      <c r="I166" s="7"/>
      <c r="J166" s="7"/>
    </row>
    <row r="167" spans="5:10" x14ac:dyDescent="0.25">
      <c r="E167" s="7"/>
      <c r="F167" s="7"/>
      <c r="G167" s="7"/>
      <c r="H167" s="7"/>
      <c r="I167" s="7"/>
      <c r="J167" s="7"/>
    </row>
    <row r="168" spans="5:10" x14ac:dyDescent="0.25">
      <c r="E168" s="7"/>
      <c r="F168" s="7"/>
      <c r="G168" s="7"/>
      <c r="H168" s="7"/>
      <c r="I168" s="7"/>
      <c r="J168" s="7"/>
    </row>
    <row r="169" spans="5:10" x14ac:dyDescent="0.25">
      <c r="E169" s="7"/>
      <c r="F169" s="7"/>
      <c r="G169" s="7"/>
      <c r="H169" s="7"/>
      <c r="I169" s="7"/>
      <c r="J169" s="7"/>
    </row>
    <row r="170" spans="5:10" x14ac:dyDescent="0.25">
      <c r="E170" s="7"/>
      <c r="F170" s="7"/>
      <c r="G170" s="7"/>
      <c r="H170" s="7"/>
      <c r="I170" s="7"/>
      <c r="J170" s="7"/>
    </row>
    <row r="171" spans="5:10" x14ac:dyDescent="0.25">
      <c r="E171" s="7"/>
      <c r="F171" s="7"/>
      <c r="G171" s="7"/>
      <c r="H171" s="7"/>
      <c r="I171" s="7"/>
      <c r="J171" s="7"/>
    </row>
    <row r="172" spans="5:10" ht="12.75" customHeight="1" x14ac:dyDescent="0.25">
      <c r="E172" s="7"/>
      <c r="F172" s="7"/>
      <c r="G172" s="7"/>
      <c r="H172" s="7"/>
      <c r="I172" s="7"/>
      <c r="J172" s="7"/>
    </row>
    <row r="173" spans="5:10" x14ac:dyDescent="0.25">
      <c r="E173" s="7"/>
      <c r="F173" s="7"/>
      <c r="G173" s="7"/>
      <c r="H173" s="7"/>
      <c r="I173" s="7"/>
      <c r="J173" s="7"/>
    </row>
    <row r="174" spans="5:10" x14ac:dyDescent="0.25">
      <c r="E174" s="7"/>
      <c r="F174" s="7"/>
      <c r="G174" s="7"/>
      <c r="H174" s="7"/>
      <c r="I174" s="7"/>
      <c r="J174" s="7"/>
    </row>
    <row r="175" spans="5:10" x14ac:dyDescent="0.25">
      <c r="E175" s="7"/>
      <c r="F175" s="7"/>
      <c r="G175" s="7"/>
      <c r="H175" s="7"/>
      <c r="I175" s="7"/>
      <c r="J175" s="7"/>
    </row>
    <row r="176" spans="5:10" x14ac:dyDescent="0.25">
      <c r="E176" s="7"/>
      <c r="F176" s="7"/>
      <c r="G176" s="7"/>
      <c r="H176" s="7"/>
      <c r="I176" s="7"/>
      <c r="J176" s="7"/>
    </row>
    <row r="177" spans="5:10" x14ac:dyDescent="0.25">
      <c r="E177" s="7"/>
      <c r="F177" s="7"/>
      <c r="G177" s="7"/>
      <c r="H177" s="7"/>
      <c r="I177" s="7"/>
      <c r="J177" s="7"/>
    </row>
    <row r="178" spans="5:10" ht="27.95" customHeight="1" x14ac:dyDescent="0.25">
      <c r="E178" s="7"/>
      <c r="F178" s="7"/>
      <c r="G178" s="7"/>
      <c r="H178" s="7"/>
      <c r="I178" s="7"/>
      <c r="J178" s="7"/>
    </row>
    <row r="179" spans="5:10" x14ac:dyDescent="0.25">
      <c r="E179" s="7"/>
      <c r="F179" s="7"/>
      <c r="G179" s="7"/>
      <c r="H179" s="7"/>
      <c r="I179" s="7"/>
      <c r="J179" s="7"/>
    </row>
    <row r="180" spans="5:10" x14ac:dyDescent="0.25">
      <c r="E180" s="7"/>
      <c r="F180" s="7"/>
      <c r="G180" s="7"/>
      <c r="H180" s="7"/>
      <c r="I180" s="7"/>
      <c r="J180" s="7"/>
    </row>
    <row r="181" spans="5:10" x14ac:dyDescent="0.25">
      <c r="E181" s="7"/>
      <c r="F181" s="7"/>
      <c r="G181" s="7"/>
      <c r="H181" s="7"/>
      <c r="I181" s="7"/>
      <c r="J181" s="7"/>
    </row>
    <row r="182" spans="5:10" x14ac:dyDescent="0.25">
      <c r="E182" s="7"/>
      <c r="F182" s="7"/>
      <c r="G182" s="7"/>
      <c r="H182" s="7"/>
      <c r="I182" s="7"/>
      <c r="J182" s="7"/>
    </row>
    <row r="183" spans="5:10" x14ac:dyDescent="0.25">
      <c r="E183" s="7"/>
      <c r="F183" s="7"/>
      <c r="G183" s="7"/>
      <c r="H183" s="7"/>
      <c r="I183" s="7"/>
      <c r="J183" s="7"/>
    </row>
    <row r="184" spans="5:10" x14ac:dyDescent="0.25">
      <c r="E184" s="7"/>
      <c r="F184" s="7"/>
      <c r="G184" s="7"/>
      <c r="H184" s="7"/>
      <c r="I184" s="7"/>
      <c r="J184" s="7"/>
    </row>
    <row r="185" spans="5:10" x14ac:dyDescent="0.25">
      <c r="E185" s="7"/>
      <c r="F185" s="7"/>
      <c r="G185" s="7"/>
      <c r="H185" s="7"/>
      <c r="I185" s="7"/>
      <c r="J185" s="7"/>
    </row>
    <row r="186" spans="5:10" x14ac:dyDescent="0.25">
      <c r="E186" s="7"/>
      <c r="F186" s="7"/>
      <c r="G186" s="7"/>
      <c r="H186" s="7"/>
      <c r="I186" s="7"/>
      <c r="J186" s="7"/>
    </row>
    <row r="187" spans="5:10" x14ac:dyDescent="0.25">
      <c r="E187" s="7"/>
      <c r="F187" s="7"/>
      <c r="G187" s="7"/>
      <c r="H187" s="7"/>
      <c r="I187" s="7"/>
      <c r="J187" s="7"/>
    </row>
    <row r="188" spans="5:10" x14ac:dyDescent="0.25">
      <c r="E188" s="7"/>
      <c r="F188" s="7"/>
      <c r="G188" s="7"/>
      <c r="H188" s="7"/>
      <c r="I188" s="7"/>
      <c r="J188" s="7"/>
    </row>
    <row r="189" spans="5:10" x14ac:dyDescent="0.25">
      <c r="E189" s="7"/>
      <c r="F189" s="7"/>
      <c r="G189" s="7"/>
      <c r="H189" s="7"/>
      <c r="I189" s="7"/>
      <c r="J189" s="7"/>
    </row>
    <row r="190" spans="5:10" x14ac:dyDescent="0.25">
      <c r="E190" s="7"/>
      <c r="F190" s="7"/>
      <c r="G190" s="7"/>
      <c r="H190" s="7"/>
      <c r="I190" s="7"/>
      <c r="J190" s="7"/>
    </row>
    <row r="191" spans="5:10" x14ac:dyDescent="0.25">
      <c r="E191" s="7"/>
      <c r="F191" s="7"/>
      <c r="G191" s="7"/>
      <c r="H191" s="7"/>
      <c r="I191" s="7"/>
      <c r="J191" s="7"/>
    </row>
    <row r="192" spans="5:10" x14ac:dyDescent="0.25">
      <c r="E192" s="7"/>
      <c r="F192" s="7"/>
      <c r="G192" s="7"/>
      <c r="H192" s="7"/>
      <c r="I192" s="7"/>
      <c r="J192" s="7"/>
    </row>
    <row r="193" spans="5:10" ht="12.75" customHeight="1" x14ac:dyDescent="0.25">
      <c r="E193" s="7"/>
      <c r="F193" s="7"/>
      <c r="G193" s="7"/>
      <c r="H193" s="7"/>
      <c r="I193" s="7"/>
      <c r="J193" s="7"/>
    </row>
    <row r="194" spans="5:10" x14ac:dyDescent="0.25">
      <c r="E194" s="7"/>
      <c r="F194" s="7"/>
      <c r="G194" s="7"/>
      <c r="H194" s="7"/>
      <c r="I194" s="7"/>
      <c r="J194" s="7"/>
    </row>
    <row r="195" spans="5:10" x14ac:dyDescent="0.25">
      <c r="E195" s="7"/>
      <c r="F195" s="7"/>
      <c r="G195" s="7"/>
      <c r="H195" s="7"/>
      <c r="I195" s="7"/>
      <c r="J195" s="7"/>
    </row>
    <row r="196" spans="5:10" x14ac:dyDescent="0.25">
      <c r="E196" s="7"/>
      <c r="F196" s="7"/>
      <c r="G196" s="7"/>
      <c r="H196" s="7"/>
      <c r="I196" s="7"/>
      <c r="J196" s="7"/>
    </row>
    <row r="197" spans="5:10" x14ac:dyDescent="0.25">
      <c r="E197" s="7"/>
      <c r="F197" s="7"/>
      <c r="G197" s="7"/>
      <c r="H197" s="7"/>
      <c r="I197" s="7"/>
      <c r="J197" s="7"/>
    </row>
    <row r="198" spans="5:10" x14ac:dyDescent="0.25">
      <c r="E198" s="7"/>
      <c r="F198" s="7"/>
      <c r="G198" s="7"/>
      <c r="H198" s="7"/>
      <c r="I198" s="7"/>
      <c r="J198" s="7"/>
    </row>
    <row r="199" spans="5:10" ht="27.95" customHeight="1" x14ac:dyDescent="0.25">
      <c r="E199" s="7"/>
      <c r="F199" s="7"/>
      <c r="G199" s="7"/>
      <c r="H199" s="7"/>
      <c r="I199" s="7"/>
      <c r="J199" s="7"/>
    </row>
    <row r="200" spans="5:10" x14ac:dyDescent="0.25">
      <c r="E200" s="7"/>
      <c r="F200" s="7"/>
      <c r="G200" s="7"/>
      <c r="H200" s="7"/>
      <c r="I200" s="7"/>
      <c r="J200" s="7"/>
    </row>
    <row r="201" spans="5:10" x14ac:dyDescent="0.25">
      <c r="E201" s="7"/>
      <c r="F201" s="7"/>
      <c r="G201" s="7"/>
      <c r="H201" s="7"/>
      <c r="I201" s="7"/>
      <c r="J201" s="7"/>
    </row>
    <row r="202" spans="5:10" x14ac:dyDescent="0.25">
      <c r="E202" s="7"/>
      <c r="F202" s="7"/>
      <c r="G202" s="7"/>
      <c r="H202" s="7"/>
      <c r="I202" s="7"/>
      <c r="J202" s="7"/>
    </row>
    <row r="203" spans="5:10" x14ac:dyDescent="0.25">
      <c r="E203" s="7"/>
      <c r="F203" s="7"/>
      <c r="G203" s="7"/>
      <c r="H203" s="7"/>
      <c r="I203" s="7"/>
      <c r="J203" s="7"/>
    </row>
    <row r="204" spans="5:10" x14ac:dyDescent="0.25">
      <c r="E204" s="7"/>
      <c r="F204" s="7"/>
      <c r="G204" s="7"/>
      <c r="H204" s="7"/>
      <c r="I204" s="7"/>
      <c r="J204" s="7"/>
    </row>
    <row r="205" spans="5:10" x14ac:dyDescent="0.25">
      <c r="E205" s="7"/>
      <c r="F205" s="7"/>
      <c r="G205" s="7"/>
      <c r="H205" s="7"/>
      <c r="I205" s="7"/>
      <c r="J205" s="7"/>
    </row>
    <row r="206" spans="5:10" x14ac:dyDescent="0.25">
      <c r="E206" s="7"/>
      <c r="F206" s="7"/>
      <c r="G206" s="7"/>
      <c r="H206" s="7"/>
      <c r="I206" s="7"/>
      <c r="J206" s="7"/>
    </row>
    <row r="207" spans="5:10" x14ac:dyDescent="0.25">
      <c r="E207" s="7"/>
      <c r="F207" s="7"/>
      <c r="G207" s="7"/>
      <c r="H207" s="7"/>
      <c r="I207" s="7"/>
      <c r="J207" s="7"/>
    </row>
    <row r="208" spans="5:10" x14ac:dyDescent="0.25">
      <c r="E208" s="7"/>
      <c r="F208" s="7"/>
      <c r="G208" s="7"/>
      <c r="H208" s="7"/>
      <c r="I208" s="7"/>
      <c r="J208" s="7"/>
    </row>
    <row r="209" spans="5:10" x14ac:dyDescent="0.25">
      <c r="E209" s="7"/>
      <c r="F209" s="7"/>
      <c r="G209" s="7"/>
      <c r="H209" s="7"/>
      <c r="I209" s="7"/>
      <c r="J209" s="7"/>
    </row>
    <row r="210" spans="5:10" x14ac:dyDescent="0.25">
      <c r="E210" s="7"/>
      <c r="F210" s="7"/>
      <c r="G210" s="7"/>
      <c r="H210" s="7"/>
      <c r="I210" s="7"/>
      <c r="J210" s="7"/>
    </row>
    <row r="211" spans="5:10" x14ac:dyDescent="0.25">
      <c r="E211" s="7"/>
      <c r="F211" s="7"/>
      <c r="G211" s="7"/>
      <c r="H211" s="7"/>
      <c r="I211" s="7"/>
      <c r="J211" s="7"/>
    </row>
    <row r="212" spans="5:10" x14ac:dyDescent="0.25">
      <c r="E212" s="7"/>
      <c r="F212" s="7"/>
      <c r="G212" s="7"/>
      <c r="H212" s="7"/>
      <c r="I212" s="7"/>
      <c r="J212" s="7"/>
    </row>
    <row r="213" spans="5:10" x14ac:dyDescent="0.25">
      <c r="E213" s="7"/>
      <c r="F213" s="7"/>
      <c r="G213" s="7"/>
      <c r="H213" s="7"/>
      <c r="I213" s="7"/>
      <c r="J213" s="7"/>
    </row>
    <row r="214" spans="5:10" ht="12.75" customHeight="1" x14ac:dyDescent="0.25">
      <c r="E214" s="7"/>
      <c r="F214" s="7"/>
      <c r="G214" s="7"/>
      <c r="H214" s="7"/>
      <c r="I214" s="7"/>
      <c r="J214" s="7"/>
    </row>
    <row r="215" spans="5:10" x14ac:dyDescent="0.25">
      <c r="E215" s="7"/>
      <c r="F215" s="7"/>
      <c r="G215" s="7"/>
      <c r="H215" s="7"/>
      <c r="I215" s="7"/>
      <c r="J215" s="7"/>
    </row>
    <row r="216" spans="5:10" x14ac:dyDescent="0.25">
      <c r="E216" s="7"/>
      <c r="F216" s="7"/>
      <c r="G216" s="7"/>
      <c r="H216" s="7"/>
      <c r="I216" s="7"/>
      <c r="J216" s="7"/>
    </row>
    <row r="217" spans="5:10" x14ac:dyDescent="0.25">
      <c r="E217" s="7"/>
      <c r="F217" s="7"/>
      <c r="G217" s="7"/>
      <c r="H217" s="7"/>
      <c r="I217" s="7"/>
      <c r="J217" s="7"/>
    </row>
    <row r="218" spans="5:10" x14ac:dyDescent="0.25">
      <c r="E218" s="7"/>
      <c r="F218" s="7"/>
      <c r="G218" s="7"/>
      <c r="H218" s="7"/>
      <c r="I218" s="7"/>
      <c r="J218" s="7"/>
    </row>
    <row r="219" spans="5:10" x14ac:dyDescent="0.25">
      <c r="E219" s="7"/>
      <c r="F219" s="7"/>
      <c r="G219" s="7"/>
      <c r="H219" s="7"/>
      <c r="I219" s="7"/>
      <c r="J219" s="7"/>
    </row>
    <row r="220" spans="5:10" x14ac:dyDescent="0.25">
      <c r="E220" s="7"/>
      <c r="F220" s="7"/>
      <c r="G220" s="7"/>
      <c r="H220" s="7"/>
      <c r="I220" s="7"/>
      <c r="J220" s="7"/>
    </row>
    <row r="221" spans="5:10" x14ac:dyDescent="0.25">
      <c r="E221" s="7"/>
      <c r="F221" s="7"/>
      <c r="G221" s="7"/>
      <c r="H221" s="7"/>
      <c r="I221" s="7"/>
      <c r="J221" s="7"/>
    </row>
    <row r="222" spans="5:10" x14ac:dyDescent="0.25">
      <c r="E222" s="7"/>
      <c r="F222" s="7"/>
      <c r="G222" s="7"/>
      <c r="H222" s="7"/>
      <c r="I222" s="7"/>
      <c r="J222" s="7"/>
    </row>
    <row r="223" spans="5:10" x14ac:dyDescent="0.25">
      <c r="E223" s="7"/>
      <c r="F223" s="7"/>
      <c r="G223" s="7"/>
      <c r="H223" s="7"/>
      <c r="I223" s="7"/>
      <c r="J223" s="7"/>
    </row>
    <row r="224" spans="5:10" x14ac:dyDescent="0.25">
      <c r="E224" s="7"/>
      <c r="F224" s="7"/>
      <c r="G224" s="7"/>
      <c r="H224" s="7"/>
      <c r="I224" s="7"/>
      <c r="J224" s="7"/>
    </row>
    <row r="225" spans="5:10" x14ac:dyDescent="0.25">
      <c r="E225" s="7"/>
      <c r="F225" s="7"/>
      <c r="G225" s="7"/>
      <c r="H225" s="7"/>
      <c r="I225" s="7"/>
      <c r="J225" s="7"/>
    </row>
    <row r="226" spans="5:10" x14ac:dyDescent="0.25">
      <c r="E226" s="7"/>
      <c r="F226" s="7"/>
      <c r="G226" s="7"/>
      <c r="H226" s="7"/>
      <c r="I226" s="7"/>
      <c r="J226" s="7"/>
    </row>
    <row r="227" spans="5:10" x14ac:dyDescent="0.25">
      <c r="E227" s="7"/>
      <c r="F227" s="7"/>
      <c r="G227" s="7"/>
      <c r="H227" s="7"/>
      <c r="I227" s="7"/>
      <c r="J227" s="7"/>
    </row>
    <row r="228" spans="5:10" x14ac:dyDescent="0.25">
      <c r="E228" s="7"/>
      <c r="F228" s="7"/>
      <c r="G228" s="7"/>
      <c r="H228" s="7"/>
      <c r="I228" s="7"/>
      <c r="J228" s="7"/>
    </row>
    <row r="229" spans="5:10" x14ac:dyDescent="0.25">
      <c r="E229" s="7"/>
      <c r="F229" s="7"/>
      <c r="G229" s="7"/>
      <c r="H229" s="7"/>
      <c r="I229" s="7"/>
      <c r="J229" s="7"/>
    </row>
    <row r="230" spans="5:10" x14ac:dyDescent="0.25">
      <c r="E230" s="7"/>
      <c r="F230" s="7"/>
      <c r="G230" s="7"/>
      <c r="H230" s="7"/>
      <c r="I230" s="7"/>
      <c r="J230" s="7"/>
    </row>
    <row r="231" spans="5:10" x14ac:dyDescent="0.25">
      <c r="E231" s="7"/>
      <c r="F231" s="7"/>
      <c r="G231" s="7"/>
      <c r="H231" s="7"/>
      <c r="I231" s="7"/>
      <c r="J231" s="7"/>
    </row>
    <row r="232" spans="5:10" x14ac:dyDescent="0.25">
      <c r="E232" s="7"/>
      <c r="F232" s="7"/>
      <c r="G232" s="7"/>
      <c r="H232" s="7"/>
      <c r="I232" s="7"/>
      <c r="J232" s="7"/>
    </row>
    <row r="233" spans="5:10" x14ac:dyDescent="0.25">
      <c r="E233" s="7"/>
      <c r="F233" s="7"/>
      <c r="G233" s="7"/>
      <c r="H233" s="7"/>
      <c r="I233" s="7"/>
      <c r="J233" s="7"/>
    </row>
    <row r="234" spans="5:10" x14ac:dyDescent="0.25">
      <c r="E234" s="7"/>
      <c r="F234" s="7"/>
      <c r="G234" s="7"/>
      <c r="H234" s="7"/>
      <c r="I234" s="7"/>
      <c r="J234" s="7"/>
    </row>
    <row r="235" spans="5:10" x14ac:dyDescent="0.25">
      <c r="E235" s="7"/>
      <c r="F235" s="7"/>
      <c r="G235" s="7"/>
      <c r="H235" s="7"/>
      <c r="I235" s="7"/>
      <c r="J235" s="7"/>
    </row>
    <row r="236" spans="5:10" x14ac:dyDescent="0.25">
      <c r="E236" s="7"/>
      <c r="F236" s="7"/>
      <c r="G236" s="7"/>
      <c r="H236" s="7"/>
      <c r="I236" s="7"/>
      <c r="J236" s="7"/>
    </row>
    <row r="237" spans="5:10" x14ac:dyDescent="0.25">
      <c r="E237" s="7"/>
      <c r="F237" s="7"/>
      <c r="G237" s="7"/>
      <c r="H237" s="7"/>
      <c r="I237" s="7"/>
      <c r="J237" s="7"/>
    </row>
    <row r="238" spans="5:10" x14ac:dyDescent="0.25">
      <c r="E238" s="7"/>
      <c r="F238" s="7"/>
      <c r="G238" s="7"/>
      <c r="H238" s="7"/>
      <c r="I238" s="7"/>
      <c r="J238" s="7"/>
    </row>
    <row r="239" spans="5:10" x14ac:dyDescent="0.25">
      <c r="E239" s="7"/>
      <c r="F239" s="7"/>
      <c r="G239" s="7"/>
      <c r="H239" s="7"/>
      <c r="I239" s="7"/>
      <c r="J239" s="7"/>
    </row>
    <row r="240" spans="5:10" x14ac:dyDescent="0.25">
      <c r="E240" s="7"/>
      <c r="F240" s="7"/>
      <c r="G240" s="7"/>
      <c r="H240" s="7"/>
      <c r="I240" s="7"/>
      <c r="J240" s="7"/>
    </row>
    <row r="241" spans="5:10" x14ac:dyDescent="0.25">
      <c r="E241" s="7"/>
      <c r="F241" s="7"/>
      <c r="G241" s="7"/>
      <c r="H241" s="7"/>
      <c r="I241" s="7"/>
      <c r="J241" s="7"/>
    </row>
    <row r="242" spans="5:10" x14ac:dyDescent="0.25">
      <c r="E242" s="7"/>
      <c r="F242" s="7"/>
      <c r="G242" s="7"/>
      <c r="H242" s="7"/>
      <c r="I242" s="7"/>
      <c r="J242" s="7"/>
    </row>
    <row r="243" spans="5:10" x14ac:dyDescent="0.25">
      <c r="E243" s="7"/>
      <c r="F243" s="7"/>
      <c r="G243" s="7"/>
      <c r="H243" s="7"/>
      <c r="I243" s="7"/>
      <c r="J243" s="7"/>
    </row>
    <row r="244" spans="5:10" x14ac:dyDescent="0.25">
      <c r="E244" s="7"/>
      <c r="F244" s="7"/>
      <c r="G244" s="7"/>
      <c r="H244" s="7"/>
      <c r="I244" s="7"/>
      <c r="J244" s="7"/>
    </row>
    <row r="245" spans="5:10" x14ac:dyDescent="0.25">
      <c r="E245" s="7"/>
      <c r="F245" s="7"/>
      <c r="G245" s="7"/>
      <c r="H245" s="7"/>
      <c r="I245" s="7"/>
      <c r="J245" s="7"/>
    </row>
    <row r="246" spans="5:10" x14ac:dyDescent="0.25">
      <c r="E246" s="7"/>
      <c r="F246" s="7"/>
      <c r="G246" s="7"/>
      <c r="H246" s="7"/>
      <c r="I246" s="7"/>
      <c r="J246" s="7"/>
    </row>
    <row r="247" spans="5:10" x14ac:dyDescent="0.25">
      <c r="E247" s="7"/>
      <c r="F247" s="7"/>
      <c r="G247" s="7"/>
      <c r="H247" s="7"/>
      <c r="I247" s="7"/>
      <c r="J247" s="7"/>
    </row>
    <row r="248" spans="5:10" x14ac:dyDescent="0.25">
      <c r="E248" s="7"/>
      <c r="F248" s="7"/>
      <c r="G248" s="7"/>
      <c r="H248" s="7"/>
      <c r="I248" s="7"/>
      <c r="J248" s="7"/>
    </row>
    <row r="249" spans="5:10" x14ac:dyDescent="0.25">
      <c r="E249" s="7"/>
      <c r="F249" s="7"/>
      <c r="G249" s="7"/>
      <c r="H249" s="7"/>
      <c r="I249" s="7"/>
      <c r="J249" s="7"/>
    </row>
    <row r="250" spans="5:10" x14ac:dyDescent="0.25">
      <c r="E250" s="7"/>
      <c r="F250" s="7"/>
      <c r="G250" s="7"/>
      <c r="H250" s="7"/>
      <c r="I250" s="7"/>
      <c r="J250" s="7"/>
    </row>
    <row r="251" spans="5:10" x14ac:dyDescent="0.25">
      <c r="E251" s="7"/>
      <c r="F251" s="7"/>
      <c r="G251" s="7"/>
      <c r="H251" s="7"/>
      <c r="I251" s="7"/>
      <c r="J251" s="7"/>
    </row>
    <row r="252" spans="5:10" x14ac:dyDescent="0.25">
      <c r="E252" s="7"/>
      <c r="F252" s="7"/>
      <c r="G252" s="7"/>
      <c r="H252" s="7"/>
      <c r="I252" s="7"/>
      <c r="J252" s="7"/>
    </row>
    <row r="253" spans="5:10" x14ac:dyDescent="0.25">
      <c r="E253" s="7"/>
      <c r="F253" s="7"/>
      <c r="G253" s="7"/>
      <c r="H253" s="7"/>
      <c r="I253" s="7"/>
      <c r="J253" s="7"/>
    </row>
    <row r="254" spans="5:10" x14ac:dyDescent="0.25">
      <c r="E254" s="7"/>
      <c r="F254" s="7"/>
      <c r="G254" s="7"/>
      <c r="H254" s="7"/>
      <c r="I254" s="7"/>
      <c r="J254" s="7"/>
    </row>
    <row r="255" spans="5:10" x14ac:dyDescent="0.25">
      <c r="E255" s="7"/>
      <c r="F255" s="7"/>
      <c r="G255" s="7"/>
      <c r="H255" s="7"/>
      <c r="I255" s="7"/>
      <c r="J255" s="7"/>
    </row>
    <row r="256" spans="5:10" x14ac:dyDescent="0.25">
      <c r="E256" s="7"/>
      <c r="F256" s="7"/>
      <c r="G256" s="7"/>
      <c r="H256" s="7"/>
      <c r="I256" s="7"/>
      <c r="J256" s="7"/>
    </row>
  </sheetData>
  <sheetProtection algorithmName="SHA-512" hashValue="imueEY/WDCm+ZjiznHbHUg5qSRSvSrof4N2mX5PwKwdvpq5L1uDCRR44iMkYzav28b/UTyMNNFlDSbPCwesiZA==" saltValue="iA4I/23S3eCHgZ0PEstSnw==" spinCount="100000" sheet="1" objects="1" scenarios="1"/>
  <mergeCells count="10">
    <mergeCell ref="E110:J110"/>
    <mergeCell ref="F111:J111"/>
    <mergeCell ref="E58:J58"/>
    <mergeCell ref="F59:J59"/>
    <mergeCell ref="E84:J84"/>
    <mergeCell ref="F85:J85"/>
    <mergeCell ref="E6:J6"/>
    <mergeCell ref="F7:J7"/>
    <mergeCell ref="E32:J32"/>
    <mergeCell ref="F33:J33"/>
  </mergeCells>
  <dataValidations count="2">
    <dataValidation type="list" allowBlank="1" showInputMessage="1" showErrorMessage="1" sqref="G117:G129 G13:G25 G39:G51 G65:G77 G91:G103" xr:uid="{1E794D71-3D01-4933-A779-F40FB626ECFD}">
      <formula1>"g,kg,ml,L,oz,lb,fl oz,pcs"</formula1>
    </dataValidation>
    <dataValidation type="list" allowBlank="1" showInputMessage="1" showErrorMessage="1" sqref="F3:F4" xr:uid="{B61599EB-A8EB-41D5-B9EC-48F4C0E4CD7B}">
      <formula1>"€,$,£,¥,CHF,AED,SAR"</formula1>
    </dataValidation>
  </dataValidations>
  <hyperlinks>
    <hyperlink ref="B3" location="Dashboard!E1" tooltip="Go to Dashboard" display="Dashboard!E1" xr:uid="{EA9DFB47-7A51-41C6-9635-59248309C57D}"/>
    <hyperlink ref="B4" location="'Dish Input'!E1" tooltip="Go to Dish Input" display="'Dish Input'!E1" xr:uid="{4317AD01-92B0-4C01-A4C5-CE839E6C9AFA}"/>
    <hyperlink ref="B5" location="Notes!E1" tooltip="Go to Notes" display="Notes!E1" xr:uid="{6DB21B4E-FC60-4E17-A381-EC09AFFB441B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3D048-319B-4F98-BB2B-1E69BDF308D2}">
  <dimension ref="A1:E49"/>
  <sheetViews>
    <sheetView showGridLines="0" workbookViewId="0">
      <pane xSplit="3" topLeftCell="D1" activePane="topRight" state="frozen"/>
      <selection pane="topRight" activeCell="B4" sqref="B4"/>
    </sheetView>
  </sheetViews>
  <sheetFormatPr defaultRowHeight="12.75" x14ac:dyDescent="0.2"/>
  <cols>
    <col min="1" max="1" width="1.28515625" style="5" customWidth="1"/>
    <col min="2" max="2" width="31.42578125" style="5" customWidth="1"/>
    <col min="3" max="3" width="1.85546875" style="5" customWidth="1"/>
    <col min="4" max="4" width="1.5703125" style="5" customWidth="1"/>
    <col min="5" max="5" width="95.28515625" style="5" customWidth="1"/>
    <col min="6" max="16384" width="9.140625" style="5"/>
  </cols>
  <sheetData>
    <row r="1" spans="1:5" ht="36" customHeight="1" x14ac:dyDescent="0.3">
      <c r="A1" s="2"/>
      <c r="B1" s="3"/>
      <c r="C1" s="4"/>
      <c r="E1" s="6" t="s">
        <v>38</v>
      </c>
    </row>
    <row r="2" spans="1:5" ht="18" customHeight="1" x14ac:dyDescent="0.2">
      <c r="A2" s="2"/>
      <c r="B2" s="8" t="s">
        <v>1</v>
      </c>
      <c r="C2" s="4"/>
      <c r="E2" s="73" t="s">
        <v>39</v>
      </c>
    </row>
    <row r="3" spans="1:5" ht="24.75" customHeight="1" x14ac:dyDescent="0.2">
      <c r="A3" s="2"/>
      <c r="B3" s="10" t="s">
        <v>2</v>
      </c>
      <c r="C3" s="4"/>
    </row>
    <row r="4" spans="1:5" ht="21.95" customHeight="1" x14ac:dyDescent="0.25">
      <c r="A4" s="2"/>
      <c r="B4" s="75" t="s">
        <v>3</v>
      </c>
      <c r="C4" s="4"/>
      <c r="E4" s="109" t="s">
        <v>40</v>
      </c>
    </row>
    <row r="5" spans="1:5" ht="21.95" customHeight="1" x14ac:dyDescent="0.2">
      <c r="A5" s="4"/>
      <c r="B5" s="74" t="s">
        <v>4</v>
      </c>
      <c r="C5" s="4"/>
      <c r="E5" s="110" t="s">
        <v>41</v>
      </c>
    </row>
    <row r="6" spans="1:5" ht="21.95" customHeight="1" x14ac:dyDescent="0.2">
      <c r="A6" s="2"/>
      <c r="B6" s="2"/>
      <c r="C6" s="4"/>
      <c r="E6" s="111" t="s">
        <v>81</v>
      </c>
    </row>
    <row r="7" spans="1:5" x14ac:dyDescent="0.2">
      <c r="A7" s="2"/>
      <c r="B7" s="2"/>
      <c r="C7" s="4"/>
      <c r="E7" s="112" t="s">
        <v>42</v>
      </c>
    </row>
    <row r="8" spans="1:5" x14ac:dyDescent="0.2">
      <c r="A8" s="2"/>
      <c r="B8" s="2"/>
      <c r="C8" s="4"/>
    </row>
    <row r="9" spans="1:5" ht="15" x14ac:dyDescent="0.25">
      <c r="A9" s="2"/>
      <c r="B9" s="2"/>
      <c r="C9" s="4"/>
      <c r="E9" s="109" t="s">
        <v>43</v>
      </c>
    </row>
    <row r="10" spans="1:5" ht="24" customHeight="1" x14ac:dyDescent="0.2">
      <c r="A10" s="2"/>
      <c r="B10" s="2"/>
      <c r="C10" s="4"/>
      <c r="E10" s="113" t="s">
        <v>44</v>
      </c>
    </row>
    <row r="11" spans="1:5" ht="24" customHeight="1" x14ac:dyDescent="0.2">
      <c r="A11" s="2"/>
      <c r="B11" s="2"/>
      <c r="C11" s="4"/>
      <c r="E11" s="114" t="s">
        <v>45</v>
      </c>
    </row>
    <row r="12" spans="1:5" ht="24" customHeight="1" x14ac:dyDescent="0.2">
      <c r="A12" s="2"/>
      <c r="B12" s="2"/>
      <c r="C12" s="4"/>
      <c r="E12" s="113" t="s">
        <v>46</v>
      </c>
    </row>
    <row r="13" spans="1:5" ht="24" customHeight="1" x14ac:dyDescent="0.2">
      <c r="A13" s="2"/>
      <c r="B13" s="2"/>
      <c r="C13" s="4"/>
      <c r="E13" s="115" t="s">
        <v>82</v>
      </c>
    </row>
    <row r="14" spans="1:5" ht="24" customHeight="1" x14ac:dyDescent="0.2">
      <c r="A14" s="2"/>
      <c r="B14" s="2"/>
      <c r="C14" s="4"/>
      <c r="E14" s="113" t="s">
        <v>47</v>
      </c>
    </row>
    <row r="15" spans="1:5" ht="24" customHeight="1" x14ac:dyDescent="0.2">
      <c r="A15" s="2"/>
      <c r="B15" s="2"/>
      <c r="C15" s="4"/>
      <c r="E15" s="114" t="s">
        <v>48</v>
      </c>
    </row>
    <row r="16" spans="1:5" ht="24" customHeight="1" x14ac:dyDescent="0.2">
      <c r="A16" s="2"/>
      <c r="B16" s="2"/>
      <c r="C16" s="4"/>
      <c r="E16" s="113" t="s">
        <v>49</v>
      </c>
    </row>
    <row r="17" spans="1:5" ht="24" customHeight="1" x14ac:dyDescent="0.2">
      <c r="A17" s="2"/>
      <c r="B17" s="2"/>
      <c r="C17" s="4"/>
      <c r="E17" s="114" t="s">
        <v>50</v>
      </c>
    </row>
    <row r="18" spans="1:5" x14ac:dyDescent="0.2">
      <c r="A18" s="2"/>
      <c r="B18" s="2"/>
      <c r="C18" s="4"/>
    </row>
    <row r="19" spans="1:5" ht="15" x14ac:dyDescent="0.25">
      <c r="A19" s="2"/>
      <c r="B19" s="2"/>
      <c r="C19" s="4"/>
      <c r="E19" s="116" t="s">
        <v>51</v>
      </c>
    </row>
    <row r="20" spans="1:5" ht="27.95" customHeight="1" x14ac:dyDescent="0.2">
      <c r="A20" s="2"/>
      <c r="B20" s="2"/>
      <c r="C20" s="4"/>
      <c r="E20" s="117" t="s">
        <v>52</v>
      </c>
    </row>
    <row r="21" spans="1:5" x14ac:dyDescent="0.2">
      <c r="A21" s="2"/>
      <c r="B21" s="2"/>
      <c r="C21" s="4"/>
    </row>
    <row r="22" spans="1:5" ht="15" x14ac:dyDescent="0.25">
      <c r="A22" s="2"/>
      <c r="B22" s="2"/>
      <c r="C22" s="4"/>
      <c r="E22" s="109" t="s">
        <v>53</v>
      </c>
    </row>
    <row r="23" spans="1:5" ht="15" x14ac:dyDescent="0.25">
      <c r="A23" s="2"/>
      <c r="B23" s="2"/>
      <c r="C23" s="4"/>
      <c r="E23" s="118" t="s">
        <v>54</v>
      </c>
    </row>
    <row r="24" spans="1:5" x14ac:dyDescent="0.2">
      <c r="A24" s="2"/>
      <c r="B24" s="2"/>
      <c r="C24" s="4"/>
      <c r="E24" s="112" t="s">
        <v>55</v>
      </c>
    </row>
    <row r="25" spans="1:5" x14ac:dyDescent="0.2">
      <c r="A25" s="2"/>
      <c r="B25" s="2"/>
      <c r="C25" s="4"/>
      <c r="E25" s="112" t="s">
        <v>56</v>
      </c>
    </row>
    <row r="26" spans="1:5" ht="18.75" x14ac:dyDescent="0.3">
      <c r="A26" s="2"/>
      <c r="B26" s="2"/>
      <c r="C26" s="4"/>
      <c r="E26" s="119" t="s">
        <v>83</v>
      </c>
    </row>
    <row r="27" spans="1:5" x14ac:dyDescent="0.2">
      <c r="A27" s="2"/>
      <c r="B27" s="2"/>
      <c r="C27" s="4"/>
    </row>
    <row r="28" spans="1:5" x14ac:dyDescent="0.2">
      <c r="A28" s="2"/>
      <c r="B28" s="2"/>
      <c r="C28" s="4"/>
    </row>
    <row r="29" spans="1:5" x14ac:dyDescent="0.2">
      <c r="A29" s="2"/>
      <c r="B29" s="2"/>
      <c r="C29" s="4"/>
    </row>
    <row r="30" spans="1:5" x14ac:dyDescent="0.2">
      <c r="A30" s="2"/>
      <c r="B30" s="2"/>
      <c r="C30" s="4"/>
    </row>
    <row r="31" spans="1:5" x14ac:dyDescent="0.2">
      <c r="A31" s="2"/>
      <c r="B31" s="2"/>
      <c r="C31" s="4"/>
    </row>
    <row r="32" spans="1:5" x14ac:dyDescent="0.2">
      <c r="A32" s="2"/>
      <c r="B32" s="2"/>
      <c r="C32" s="4"/>
    </row>
    <row r="33" spans="1:3" x14ac:dyDescent="0.2">
      <c r="A33" s="2"/>
      <c r="B33" s="2"/>
      <c r="C33" s="4"/>
    </row>
    <row r="34" spans="1:3" x14ac:dyDescent="0.2">
      <c r="A34" s="2"/>
      <c r="B34" s="2"/>
      <c r="C34" s="4"/>
    </row>
    <row r="35" spans="1:3" x14ac:dyDescent="0.2">
      <c r="A35" s="2"/>
      <c r="B35" s="2"/>
      <c r="C35" s="4"/>
    </row>
    <row r="36" spans="1:3" x14ac:dyDescent="0.2">
      <c r="A36" s="2"/>
      <c r="B36" s="2"/>
      <c r="C36" s="4"/>
    </row>
    <row r="37" spans="1:3" x14ac:dyDescent="0.2">
      <c r="A37" s="2"/>
      <c r="B37" s="2"/>
      <c r="C37" s="4"/>
    </row>
    <row r="38" spans="1:3" x14ac:dyDescent="0.2">
      <c r="A38" s="2"/>
      <c r="B38" s="2"/>
      <c r="C38" s="4"/>
    </row>
    <row r="39" spans="1:3" x14ac:dyDescent="0.2">
      <c r="A39" s="2"/>
      <c r="B39" s="2"/>
      <c r="C39" s="4"/>
    </row>
    <row r="40" spans="1:3" x14ac:dyDescent="0.2">
      <c r="A40" s="2"/>
      <c r="B40" s="2"/>
      <c r="C40" s="4"/>
    </row>
    <row r="41" spans="1:3" x14ac:dyDescent="0.2">
      <c r="A41" s="2"/>
      <c r="B41" s="2"/>
      <c r="C41" s="4"/>
    </row>
    <row r="42" spans="1:3" x14ac:dyDescent="0.2">
      <c r="A42" s="2"/>
      <c r="B42" s="2"/>
      <c r="C42" s="4"/>
    </row>
    <row r="43" spans="1:3" x14ac:dyDescent="0.2">
      <c r="A43" s="2"/>
      <c r="B43" s="2"/>
      <c r="C43" s="4"/>
    </row>
    <row r="44" spans="1:3" x14ac:dyDescent="0.2">
      <c r="A44" s="2"/>
      <c r="B44" s="2"/>
      <c r="C44" s="4"/>
    </row>
    <row r="45" spans="1:3" x14ac:dyDescent="0.2">
      <c r="A45" s="2"/>
      <c r="B45" s="2"/>
      <c r="C45" s="4"/>
    </row>
    <row r="46" spans="1:3" x14ac:dyDescent="0.2">
      <c r="A46" s="2"/>
      <c r="B46" s="2"/>
      <c r="C46" s="4"/>
    </row>
    <row r="47" spans="1:3" x14ac:dyDescent="0.2">
      <c r="A47" s="2"/>
      <c r="B47" s="2"/>
      <c r="C47" s="4"/>
    </row>
    <row r="48" spans="1:3" x14ac:dyDescent="0.2">
      <c r="A48" s="2"/>
      <c r="B48" s="2"/>
      <c r="C48" s="4"/>
    </row>
    <row r="49" spans="1:3" x14ac:dyDescent="0.2">
      <c r="A49" s="2"/>
      <c r="B49" s="2"/>
      <c r="C49" s="4"/>
    </row>
  </sheetData>
  <sheetProtection sheet="1" objects="1" scenarios="1"/>
  <hyperlinks>
    <hyperlink ref="B3" location="Dashboard!E1" tooltip="Go to Dashboard" display="Dashboard!E1" xr:uid="{A9E737A2-279E-4333-AADB-561EF412EBB9}"/>
    <hyperlink ref="B4" location="'Dish Input'!E1" tooltip="Go to Dish Input" display="'Dish Input'!E1" xr:uid="{1B17D9A7-321F-4DEE-845E-8A62CECCB565}"/>
    <hyperlink ref="B5" location="Notes!E1" tooltip="Go to Notes" display="Notes!E1" xr:uid="{A3099693-4D22-47C5-8884-977BCF8901C1}"/>
    <hyperlink ref="E26" r:id="rId1" display="Book a call" xr:uid="{F24C7F0B-3F8E-483F-B163-823FE0FFFEAC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Dashboard</vt:lpstr>
      <vt:lpstr>Dish Input</vt:lpstr>
      <vt:lpstr>Notes</vt:lpstr>
      <vt:lpstr>Currency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 Bonev - Point Numera</dc:creator>
  <cp:lastModifiedBy>Filip Bonev - Point Numera</cp:lastModifiedBy>
  <dcterms:created xsi:type="dcterms:W3CDTF">2026-03-24T23:18:23Z</dcterms:created>
  <dcterms:modified xsi:type="dcterms:W3CDTF">2026-03-25T15:56:24Z</dcterms:modified>
</cp:coreProperties>
</file>