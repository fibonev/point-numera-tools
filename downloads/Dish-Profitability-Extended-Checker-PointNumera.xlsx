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bon\Proton Drive\fi.bonev\My files\Point Numera\Services\Dish Profitability check\"/>
    </mc:Choice>
  </mc:AlternateContent>
  <xr:revisionPtr revIDLastSave="0" documentId="13_ncr:1_{70750C11-1EC6-45B2-9C69-EDFC2796959F}" xr6:coauthVersionLast="47" xr6:coauthVersionMax="47" xr10:uidLastSave="{00000000-0000-0000-0000-000000000000}"/>
  <bookViews>
    <workbookView xWindow="-120" yWindow="-120" windowWidth="38640" windowHeight="21120" activeTab="2" xr2:uid="{2A864C33-D34F-4E51-9C26-DDA8331FB0E9}"/>
  </bookViews>
  <sheets>
    <sheet name="Dashboard" sheetId="2" r:id="rId1"/>
    <sheet name="Dish Input" sheetId="3" r:id="rId2"/>
    <sheet name="Notes" sheetId="4" r:id="rId3"/>
  </sheets>
  <definedNames>
    <definedName name="Currency">'Dish Input'!$F$3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3" l="1"/>
  <c r="J116" i="3"/>
  <c r="H116" i="3"/>
  <c r="J90" i="3"/>
  <c r="H90" i="3"/>
  <c r="J64" i="3"/>
  <c r="H64" i="3"/>
  <c r="J38" i="3"/>
  <c r="H38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J91" i="3"/>
  <c r="J92" i="3"/>
  <c r="J93" i="3"/>
  <c r="J94" i="3"/>
  <c r="J95" i="3"/>
  <c r="J96" i="3"/>
  <c r="J97" i="3"/>
  <c r="J98" i="3"/>
  <c r="J99" i="3"/>
  <c r="J100" i="3"/>
  <c r="J101" i="3"/>
  <c r="J102" i="3"/>
  <c r="I91" i="3"/>
  <c r="I92" i="3"/>
  <c r="I93" i="3"/>
  <c r="I94" i="3"/>
  <c r="I95" i="3"/>
  <c r="I96" i="3"/>
  <c r="I97" i="3"/>
  <c r="I98" i="3"/>
  <c r="I99" i="3"/>
  <c r="I100" i="3"/>
  <c r="I101" i="3"/>
  <c r="I102" i="3"/>
  <c r="J65" i="3"/>
  <c r="J66" i="3"/>
  <c r="J67" i="3"/>
  <c r="J68" i="3"/>
  <c r="J69" i="3"/>
  <c r="J70" i="3"/>
  <c r="J71" i="3"/>
  <c r="J72" i="3"/>
  <c r="J73" i="3"/>
  <c r="J74" i="3"/>
  <c r="J75" i="3"/>
  <c r="J76" i="3"/>
  <c r="I65" i="3"/>
  <c r="I66" i="3"/>
  <c r="I67" i="3"/>
  <c r="I68" i="3"/>
  <c r="I69" i="3"/>
  <c r="I70" i="3"/>
  <c r="I71" i="3"/>
  <c r="I72" i="3"/>
  <c r="I73" i="3"/>
  <c r="I74" i="3"/>
  <c r="I75" i="3"/>
  <c r="I76" i="3"/>
  <c r="J39" i="3"/>
  <c r="J40" i="3"/>
  <c r="J41" i="3"/>
  <c r="J42" i="3"/>
  <c r="J43" i="3"/>
  <c r="J44" i="3"/>
  <c r="J45" i="3"/>
  <c r="J46" i="3"/>
  <c r="J47" i="3"/>
  <c r="J48" i="3"/>
  <c r="J49" i="3"/>
  <c r="J50" i="3"/>
  <c r="I39" i="3"/>
  <c r="I40" i="3"/>
  <c r="I41" i="3"/>
  <c r="I42" i="3"/>
  <c r="I43" i="3"/>
  <c r="I44" i="3"/>
  <c r="I45" i="3"/>
  <c r="I46" i="3"/>
  <c r="I47" i="3"/>
  <c r="I48" i="3"/>
  <c r="I49" i="3"/>
  <c r="I50" i="3"/>
  <c r="J14" i="3"/>
  <c r="J15" i="3"/>
  <c r="J16" i="3"/>
  <c r="J17" i="3"/>
  <c r="J18" i="3"/>
  <c r="J19" i="3"/>
  <c r="J20" i="3"/>
  <c r="J21" i="3"/>
  <c r="J22" i="3"/>
  <c r="J23" i="3"/>
  <c r="J24" i="3"/>
  <c r="J13" i="3"/>
  <c r="I21" i="3"/>
  <c r="G25" i="2"/>
  <c r="I24" i="3"/>
  <c r="I23" i="3"/>
  <c r="I22" i="3"/>
  <c r="I20" i="3"/>
  <c r="I19" i="3"/>
  <c r="I18" i="3"/>
  <c r="I17" i="3"/>
  <c r="I16" i="3"/>
  <c r="I15" i="3"/>
  <c r="I14" i="3"/>
  <c r="I13" i="3"/>
  <c r="H12" i="3"/>
  <c r="H10" i="2"/>
  <c r="F10" i="2"/>
  <c r="J12" i="3"/>
  <c r="E15" i="2"/>
  <c r="E14" i="2"/>
  <c r="E13" i="2"/>
  <c r="E12" i="2"/>
  <c r="E11" i="2"/>
  <c r="J135" i="3"/>
  <c r="F114" i="3"/>
  <c r="F15" i="2" s="1"/>
  <c r="J15" i="2" s="1"/>
  <c r="J109" i="3"/>
  <c r="F88" i="3"/>
  <c r="F14" i="2" s="1"/>
  <c r="J14" i="2" s="1"/>
  <c r="J83" i="3"/>
  <c r="F62" i="3"/>
  <c r="F13" i="2" s="1"/>
  <c r="J13" i="2" s="1"/>
  <c r="J57" i="3"/>
  <c r="F36" i="3"/>
  <c r="F12" i="2" s="1"/>
  <c r="F10" i="3"/>
  <c r="F11" i="2" s="1"/>
  <c r="J30" i="3" l="1"/>
  <c r="J52" i="3"/>
  <c r="J82" i="3"/>
  <c r="J108" i="3"/>
  <c r="J134" i="3"/>
  <c r="J26" i="3"/>
  <c r="J28" i="3" s="1"/>
  <c r="J56" i="3"/>
  <c r="J78" i="3"/>
  <c r="J80" i="3" s="1"/>
  <c r="J81" i="3" s="1"/>
  <c r="J130" i="3"/>
  <c r="J132" i="3" s="1"/>
  <c r="J133" i="3" s="1"/>
  <c r="J53" i="3"/>
  <c r="G12" i="2" s="1"/>
  <c r="J12" i="2" s="1"/>
  <c r="J54" i="3"/>
  <c r="J55" i="3" s="1"/>
  <c r="J104" i="3"/>
  <c r="G24" i="2"/>
  <c r="J131" i="3" l="1"/>
  <c r="G15" i="2" s="1"/>
  <c r="E37" i="2"/>
  <c r="E26" i="2"/>
  <c r="E27" i="2"/>
  <c r="E28" i="2"/>
  <c r="E29" i="2"/>
  <c r="E30" i="2"/>
  <c r="E31" i="2"/>
  <c r="E32" i="2"/>
  <c r="E33" i="2"/>
  <c r="E34" i="2"/>
  <c r="E35" i="2"/>
  <c r="E36" i="2"/>
  <c r="J79" i="3"/>
  <c r="G13" i="2" s="1"/>
  <c r="J27" i="3"/>
  <c r="J29" i="3"/>
  <c r="I11" i="2" s="1"/>
  <c r="G38" i="2"/>
  <c r="F38" i="2"/>
  <c r="J106" i="3"/>
  <c r="J107" i="3" s="1"/>
  <c r="I14" i="2" s="1"/>
  <c r="J105" i="3"/>
  <c r="G14" i="2" s="1"/>
  <c r="H15" i="2"/>
  <c r="G11" i="2"/>
  <c r="I15" i="2"/>
  <c r="I12" i="2"/>
  <c r="I13" i="2"/>
  <c r="H13" i="2"/>
  <c r="H12" i="2"/>
  <c r="H11" i="2"/>
  <c r="G33" i="2" l="1"/>
  <c r="F33" i="2"/>
  <c r="G34" i="2"/>
  <c r="F34" i="2"/>
  <c r="G28" i="2"/>
  <c r="F28" i="2"/>
  <c r="G32" i="2"/>
  <c r="F32" i="2"/>
  <c r="G35" i="2"/>
  <c r="F35" i="2"/>
  <c r="G29" i="2"/>
  <c r="F29" i="2"/>
  <c r="F26" i="2"/>
  <c r="G26" i="2"/>
  <c r="G36" i="2"/>
  <c r="F36" i="2"/>
  <c r="G31" i="2"/>
  <c r="F31" i="2"/>
  <c r="G30" i="2"/>
  <c r="F30" i="2"/>
  <c r="G27" i="2"/>
  <c r="F27" i="2"/>
  <c r="H14" i="2"/>
  <c r="G37" i="2"/>
  <c r="F37" i="2"/>
  <c r="G17" i="2"/>
  <c r="E21" i="2" s="1"/>
  <c r="J11" i="2"/>
  <c r="I17" i="2"/>
  <c r="F21" i="2" s="1"/>
</calcChain>
</file>

<file path=xl/sharedStrings.xml><?xml version="1.0" encoding="utf-8"?>
<sst xmlns="http://schemas.openxmlformats.org/spreadsheetml/2006/main" count="174" uniqueCount="90">
  <si>
    <t>DISH INPUT</t>
  </si>
  <si>
    <t>Dish Profitability Tracker</t>
  </si>
  <si>
    <t>📊  Dashboard</t>
  </si>
  <si>
    <t>🍽️  Dish Input</t>
  </si>
  <si>
    <t>📝  Notes</t>
  </si>
  <si>
    <t>DISH 1</t>
  </si>
  <si>
    <t>Dish Name</t>
  </si>
  <si>
    <t>Selling Price (incl. VAT)</t>
  </si>
  <si>
    <t>VAT Rate %</t>
  </si>
  <si>
    <t>Price excl. VAT</t>
  </si>
  <si>
    <t>Ingredient</t>
  </si>
  <si>
    <t>Qty</t>
  </si>
  <si>
    <t>Unit</t>
  </si>
  <si>
    <t>Total Ingredient Cost</t>
  </si>
  <si>
    <t>Food Cost %</t>
  </si>
  <si>
    <t>Gross Margin</t>
  </si>
  <si>
    <t>Gross Margin %</t>
  </si>
  <si>
    <t>Biggest Cost Driver</t>
  </si>
  <si>
    <t>Target Food Cost %</t>
  </si>
  <si>
    <t>DISH 2</t>
  </si>
  <si>
    <t>DISH 3</t>
  </si>
  <si>
    <t>Dish 3</t>
  </si>
  <si>
    <t>DISH 4</t>
  </si>
  <si>
    <t>Dish 4</t>
  </si>
  <si>
    <t>DISH 5</t>
  </si>
  <si>
    <t>Dish 5</t>
  </si>
  <si>
    <t>DISH PROFITABILITY TRACKER</t>
  </si>
  <si>
    <t>Point Numera — pointnumera.com</t>
  </si>
  <si>
    <t>[ Point Numera Logo ]</t>
  </si>
  <si>
    <t>TARGET FOOD COST %</t>
  </si>
  <si>
    <t>DISH SUMMARY</t>
  </si>
  <si>
    <t>Status</t>
  </si>
  <si>
    <t>AVERAGES</t>
  </si>
  <si>
    <t>Avg Food Cost %:</t>
  </si>
  <si>
    <t>Avg Gross Margin %:</t>
  </si>
  <si>
    <t>COST vs MARGIN BREAKDOWN</t>
  </si>
  <si>
    <t>Avg Food Cost %</t>
  </si>
  <si>
    <t>Avg Gross Margin %</t>
  </si>
  <si>
    <t>Component</t>
  </si>
  <si>
    <t>% of Selling Price</t>
  </si>
  <si>
    <t>NOTES</t>
  </si>
  <si>
    <t>Reference guide and contact information</t>
  </si>
  <si>
    <t>WHAT IS FOOD COST %?</t>
  </si>
  <si>
    <t>Food Cost % measures the proportion of a dish's selling price (excl. VAT) that goes toward ingredient costs.</t>
  </si>
  <si>
    <t>A lower food cost % means higher profitability per dish. Industry benchmarks typically range from 25% to 35%.</t>
  </si>
  <si>
    <t>HOW TO USE THIS TRACKER</t>
  </si>
  <si>
    <t>1.  Set your Target Food Cost % on the Dashboard sheet (default: 30%).</t>
  </si>
  <si>
    <t>2.  Go to the Dish Input sheet and enter your dish name and selling price (incl. VAT) for each dish.</t>
  </si>
  <si>
    <t>3.  Enter each ingredient: name, quantity, unit (g / ml / pcs), and cost per unit.</t>
  </si>
  <si>
    <t>5.  Return to the Dashboard to see all dishes compared side-by-side with status indicators.</t>
  </si>
  <si>
    <t>6.  Green = on target, Amber = within 5 percentage points above target, Red = more than 5pp above target.</t>
  </si>
  <si>
    <t>7.  The donut chart shows the average food cost % vs gross margin % across all active dishes.</t>
  </si>
  <si>
    <t>8.  The pie chart shows the ingredient-level breakdown of Dish 1 as a proportion of the selling price.</t>
  </si>
  <si>
    <t>IMPORTANT</t>
  </si>
  <si>
    <t>This tracker covers ingredient costs only. Labour, rent, and overhead apply at the business level.</t>
  </si>
  <si>
    <t>CONTACT</t>
  </si>
  <si>
    <t>Point Numera</t>
  </si>
  <si>
    <t>info@pointnumera.com</t>
  </si>
  <si>
    <t>pointnumera.com</t>
  </si>
  <si>
    <t>Grilled Salmon Bowl</t>
  </si>
  <si>
    <t>Salmon fillet</t>
  </si>
  <si>
    <t>g</t>
  </si>
  <si>
    <t>Basmati rice</t>
  </si>
  <si>
    <t>Avocado</t>
  </si>
  <si>
    <t>Edamame</t>
  </si>
  <si>
    <t>Sesame dressing</t>
  </si>
  <si>
    <t>ml</t>
  </si>
  <si>
    <t>Spring onion</t>
  </si>
  <si>
    <t>Sesame seeds</t>
  </si>
  <si>
    <t>Lime wedge</t>
  </si>
  <si>
    <t>pcs</t>
  </si>
  <si>
    <t>Margherita Pizza</t>
  </si>
  <si>
    <t>Pizza dough</t>
  </si>
  <si>
    <t>Mozzarella</t>
  </si>
  <si>
    <t>Tomato sauce</t>
  </si>
  <si>
    <t>Fresh basil</t>
  </si>
  <si>
    <t>Olive oil</t>
  </si>
  <si>
    <t>Parmesan</t>
  </si>
  <si>
    <t>PRICE COMPOSITION</t>
  </si>
  <si>
    <t>Select Dish:</t>
  </si>
  <si>
    <t>Soy sauce</t>
  </si>
  <si>
    <t>Pickled ginger</t>
  </si>
  <si>
    <t>Sea salt</t>
  </si>
  <si>
    <t>Formula:  Food Cost %  =  Total Ingredient Cost  ÷  Dish Price excl. VAT</t>
  </si>
  <si>
    <t>4.  All calculations are automatic, food cost %, gross margin, and the biggest cost driver update instantly.</t>
  </si>
  <si>
    <t>Book a Clarity Call</t>
  </si>
  <si>
    <t>Currency:</t>
  </si>
  <si>
    <t>Bulk Unit</t>
  </si>
  <si>
    <t>CHF</t>
  </si>
  <si>
    <t>Enter dish details and ingredients. Blue values are editable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</si>
</sst>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7" formatCode="#,##0.0000"/>
  </numFmts>
  <fonts count="40" x14ac:knownFonts="1">
    <font>
      <sz val="11"/>
      <color theme="1"/>
      <name val="Aptos Narrow"/>
      <family val="2"/>
      <scheme val="minor"/>
    </font>
    <font>
      <sz val="10"/>
      <color theme="1"/>
      <name val="Calibri"/>
    </font>
    <font>
      <u/>
      <sz val="11"/>
      <color theme="10"/>
      <name val="Aptos Narrow"/>
      <family val="2"/>
      <scheme val="minor"/>
    </font>
    <font>
      <sz val="10"/>
      <color rgb="FF0E4F47"/>
      <name val="Calibri"/>
    </font>
    <font>
      <b/>
      <sz val="14"/>
      <color rgb="FF0E4F47"/>
      <name val="Calibri"/>
    </font>
    <font>
      <sz val="10"/>
      <color rgb="FF7F8C8D"/>
      <name val="Calibri"/>
    </font>
    <font>
      <b/>
      <sz val="11"/>
      <color rgb="FFF4ECBD"/>
      <name val="Aptos Narrow"/>
      <family val="2"/>
      <scheme val="minor"/>
    </font>
    <font>
      <sz val="11"/>
      <color rgb="FF0E4F47"/>
      <name val="Aptos Narrow"/>
      <family val="2"/>
      <scheme val="minor"/>
    </font>
    <font>
      <b/>
      <sz val="11"/>
      <color rgb="FF0E4F47"/>
      <name val="Aptos Narrow"/>
      <family val="2"/>
      <scheme val="minor"/>
    </font>
    <font>
      <i/>
      <sz val="9"/>
      <color rgb="FF8A9E9A"/>
      <name val="Calibri"/>
    </font>
    <font>
      <b/>
      <sz val="10"/>
      <color rgb="FFF4ECBD"/>
      <name val="Calibri"/>
    </font>
    <font>
      <b/>
      <sz val="10"/>
      <color rgb="FFF0EDE4"/>
      <name val="Calibri"/>
    </font>
    <font>
      <b/>
      <sz val="11"/>
      <color rgb="FFF4ECBD"/>
      <name val="Calibri"/>
    </font>
    <font>
      <i/>
      <sz val="10"/>
      <color rgb="FF0E4F47"/>
      <name val="Calibri"/>
    </font>
    <font>
      <b/>
      <sz val="11"/>
      <color rgb="FF0E4F47"/>
      <name val="Calibri"/>
    </font>
    <font>
      <b/>
      <sz val="13"/>
      <color rgb="FFF4ECBD"/>
      <name val="Calibri"/>
    </font>
    <font>
      <sz val="9"/>
      <color rgb="FFA4D6A4"/>
      <name val="Calibri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A0F0E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9"/>
      <color rgb="FF0E4F47"/>
      <name val="Aptos Narrow"/>
      <family val="2"/>
      <scheme val="minor"/>
    </font>
    <font>
      <sz val="1"/>
      <color rgb="FFFFFFFF"/>
      <name val="Aptos Narrow"/>
      <family val="2"/>
      <scheme val="minor"/>
    </font>
    <font>
      <sz val="9"/>
      <color rgb="FF0E4F47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rgb="FF0000FF"/>
      <name val="Calibri"/>
      <family val="2"/>
    </font>
    <font>
      <sz val="12"/>
      <color rgb="FF0E4F47"/>
      <name val="Calibri"/>
      <family val="2"/>
    </font>
    <font>
      <b/>
      <sz val="12"/>
      <color rgb="FFF4ECBD"/>
      <name val="Calibri"/>
      <family val="2"/>
    </font>
    <font>
      <i/>
      <sz val="10"/>
      <color rgb="FF0E4F47"/>
      <name val="Calibri"/>
      <family val="2"/>
    </font>
    <font>
      <sz val="10"/>
      <color rgb="FF0E4F47"/>
      <name val="Calibri"/>
      <family val="2"/>
    </font>
    <font>
      <u/>
      <sz val="14"/>
      <color theme="3" tint="0.249977111117893"/>
      <name val="Aptos Narrow"/>
      <family val="2"/>
      <scheme val="minor"/>
    </font>
    <font>
      <sz val="9"/>
      <color rgb="FF7F8C8D"/>
      <name val="Aptos Narrow"/>
      <family val="2"/>
    </font>
    <font>
      <b/>
      <sz val="13"/>
      <color rgb="FF0E4F47"/>
      <name val="Calibri"/>
      <family val="2"/>
    </font>
    <font>
      <sz val="13"/>
      <color rgb="FFFFFFFF"/>
      <name val="Calibri"/>
      <family val="2"/>
    </font>
    <font>
      <b/>
      <sz val="12"/>
      <color rgb="FF0E4F47"/>
      <name val="Calibri"/>
      <family val="2"/>
    </font>
    <font>
      <sz val="9"/>
      <color rgb="FF7F8C8D"/>
      <name val="Aptos Narrow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E4F47"/>
        <bgColor indexed="64"/>
      </patternFill>
    </fill>
    <fill>
      <patternFill patternType="solid">
        <fgColor rgb="FFF4EC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A4D6A4"/>
        <bgColor indexed="64"/>
      </patternFill>
    </fill>
  </fills>
  <borders count="24">
    <border>
      <left/>
      <right/>
      <top/>
      <bottom/>
      <diagonal/>
    </border>
    <border>
      <left style="thin">
        <color rgb="FF1E2E2B"/>
      </left>
      <right style="thin">
        <color rgb="FF1E2E2B"/>
      </right>
      <top style="thin">
        <color rgb="FF1E2E2B"/>
      </top>
      <bottom style="thin">
        <color rgb="FF1E2E2B"/>
      </bottom>
      <diagonal/>
    </border>
    <border>
      <left style="thin">
        <color rgb="FF1E2E2B"/>
      </left>
      <right style="thin">
        <color rgb="FFD0D0D0"/>
      </right>
      <top style="thin">
        <color rgb="FF1E2E2B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E2B"/>
      </top>
      <bottom style="thin">
        <color rgb="FFD0D0D0"/>
      </bottom>
      <diagonal/>
    </border>
    <border>
      <left style="thin">
        <color rgb="FFD0D0D0"/>
      </left>
      <right style="thin">
        <color rgb="FF1E2E2B"/>
      </right>
      <top style="thin">
        <color rgb="FF1E2E2B"/>
      </top>
      <bottom style="thin">
        <color rgb="FFD0D0D0"/>
      </bottom>
      <diagonal/>
    </border>
    <border>
      <left style="thin">
        <color rgb="FF1E2E2B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1E2E2B"/>
      </right>
      <top style="thin">
        <color rgb="FFD0D0D0"/>
      </top>
      <bottom style="thin">
        <color rgb="FFD0D0D0"/>
      </bottom>
      <diagonal/>
    </border>
    <border>
      <left style="thin">
        <color rgb="FF1E2E2B"/>
      </left>
      <right style="thin">
        <color rgb="FFD0D0D0"/>
      </right>
      <top style="thin">
        <color rgb="FFD0D0D0"/>
      </top>
      <bottom style="thin">
        <color rgb="FF1E2E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1E2E2B"/>
      </bottom>
      <diagonal/>
    </border>
    <border>
      <left style="thin">
        <color rgb="FFD0D0D0"/>
      </left>
      <right style="thin">
        <color rgb="FF1E2E2B"/>
      </right>
      <top style="thin">
        <color rgb="FFD0D0D0"/>
      </top>
      <bottom style="thin">
        <color rgb="FF1E2E2B"/>
      </bottom>
      <diagonal/>
    </border>
    <border>
      <left/>
      <right/>
      <top/>
      <bottom style="thin">
        <color rgb="FF1E2E2B"/>
      </bottom>
      <diagonal/>
    </border>
    <border>
      <left/>
      <right/>
      <top style="thin">
        <color rgb="FF1E2E2B"/>
      </top>
      <bottom/>
      <diagonal/>
    </border>
    <border>
      <left style="thin">
        <color rgb="FF1E2E2B"/>
      </left>
      <right/>
      <top style="thin">
        <color rgb="FF1E2E2B"/>
      </top>
      <bottom/>
      <diagonal/>
    </border>
    <border>
      <left style="thin">
        <color rgb="FF1E2E2B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1E2E2B"/>
      </top>
      <bottom style="double">
        <color indexed="64"/>
      </bottom>
      <diagonal/>
    </border>
    <border>
      <left style="thin">
        <color rgb="FFD0D0D0"/>
      </left>
      <right/>
      <top style="thin">
        <color rgb="FF1E2E2B"/>
      </top>
      <bottom/>
      <diagonal/>
    </border>
    <border>
      <left style="thin">
        <color rgb="FFD0D0D0"/>
      </left>
      <right style="thin">
        <color rgb="FF1E2E2B"/>
      </right>
      <top style="thin">
        <color rgb="FF1E2E2B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 style="thin">
        <color rgb="FF1E2E2B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 style="thin">
        <color rgb="FF1E2E2B"/>
      </bottom>
      <diagonal/>
    </border>
    <border>
      <left style="thin">
        <color rgb="FF1E2E2B"/>
      </left>
      <right/>
      <top style="thin">
        <color rgb="FFD0D0D0"/>
      </top>
      <bottom/>
      <diagonal/>
    </border>
    <border>
      <left style="thin">
        <color rgb="FF1E2E2B"/>
      </left>
      <right/>
      <top style="thin">
        <color rgb="FFD0D0D0"/>
      </top>
      <bottom style="thin">
        <color rgb="FF1E2E2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6" fillId="2" borderId="0" xfId="0" applyFont="1" applyFill="1" applyAlignment="1">
      <alignment vertical="center"/>
    </xf>
    <xf numFmtId="0" fontId="1" fillId="3" borderId="0" xfId="0" applyFont="1" applyFill="1"/>
    <xf numFmtId="0" fontId="9" fillId="0" borderId="0" xfId="0" applyFont="1"/>
    <xf numFmtId="0" fontId="10" fillId="2" borderId="0" xfId="0" applyFont="1" applyFill="1"/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2" borderId="0" xfId="0" applyFont="1" applyFill="1"/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14" fillId="3" borderId="0" xfId="0" applyFont="1" applyFill="1"/>
    <xf numFmtId="0" fontId="13" fillId="0" borderId="0" xfId="0" applyFont="1" applyAlignment="1">
      <alignment vertical="center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8" fillId="3" borderId="0" xfId="0" applyFont="1" applyFill="1"/>
    <xf numFmtId="0" fontId="0" fillId="3" borderId="0" xfId="0" applyFill="1"/>
    <xf numFmtId="0" fontId="7" fillId="5" borderId="0" xfId="0" applyFont="1" applyFill="1"/>
    <xf numFmtId="0" fontId="19" fillId="6" borderId="0" xfId="0" applyFont="1" applyFill="1"/>
    <xf numFmtId="0" fontId="0" fillId="7" borderId="0" xfId="0" applyFill="1"/>
    <xf numFmtId="0" fontId="20" fillId="7" borderId="0" xfId="0" applyFont="1" applyFill="1"/>
    <xf numFmtId="0" fontId="0" fillId="5" borderId="0" xfId="0" applyFill="1"/>
    <xf numFmtId="0" fontId="17" fillId="4" borderId="0" xfId="0" applyFont="1" applyFill="1" applyBorder="1"/>
    <xf numFmtId="4" fontId="17" fillId="4" borderId="0" xfId="0" applyNumberFormat="1" applyFont="1" applyFill="1" applyBorder="1"/>
    <xf numFmtId="0" fontId="8" fillId="0" borderId="0" xfId="0" applyFont="1"/>
    <xf numFmtId="0" fontId="8" fillId="5" borderId="0" xfId="0" applyFont="1" applyFill="1"/>
    <xf numFmtId="0" fontId="8" fillId="7" borderId="0" xfId="0" applyFont="1" applyFill="1"/>
    <xf numFmtId="4" fontId="19" fillId="7" borderId="0" xfId="0" applyNumberFormat="1" applyFont="1" applyFill="1"/>
    <xf numFmtId="4" fontId="21" fillId="7" borderId="0" xfId="0" applyNumberFormat="1" applyFont="1" applyFill="1"/>
    <xf numFmtId="165" fontId="21" fillId="7" borderId="0" xfId="0" applyNumberFormat="1" applyFont="1" applyFill="1"/>
    <xf numFmtId="165" fontId="22" fillId="6" borderId="0" xfId="0" applyNumberFormat="1" applyFont="1" applyFill="1"/>
    <xf numFmtId="0" fontId="22" fillId="4" borderId="5" xfId="0" applyFont="1" applyFill="1" applyBorder="1" applyAlignment="1">
      <alignment vertical="center"/>
    </xf>
    <xf numFmtId="165" fontId="19" fillId="4" borderId="6" xfId="0" applyNumberFormat="1" applyFont="1" applyFill="1" applyBorder="1" applyAlignment="1">
      <alignment vertical="center"/>
    </xf>
    <xf numFmtId="0" fontId="22" fillId="5" borderId="5" xfId="0" applyFont="1" applyFill="1" applyBorder="1" applyAlignment="1">
      <alignment vertical="center"/>
    </xf>
    <xf numFmtId="165" fontId="19" fillId="5" borderId="6" xfId="0" applyNumberFormat="1" applyFont="1" applyFill="1" applyBorder="1" applyAlignment="1">
      <alignment vertical="center"/>
    </xf>
    <xf numFmtId="0" fontId="22" fillId="4" borderId="8" xfId="0" applyFont="1" applyFill="1" applyBorder="1" applyAlignment="1">
      <alignment vertical="center"/>
    </xf>
    <xf numFmtId="165" fontId="19" fillId="4" borderId="9" xfId="0" applyNumberFormat="1" applyFont="1" applyFill="1" applyBorder="1" applyAlignment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165" fontId="8" fillId="3" borderId="0" xfId="0" applyNumberFormat="1" applyFont="1" applyFill="1"/>
    <xf numFmtId="0" fontId="0" fillId="2" borderId="0" xfId="0" applyFill="1"/>
    <xf numFmtId="0" fontId="6" fillId="2" borderId="0" xfId="0" applyFont="1" applyFill="1"/>
    <xf numFmtId="0" fontId="23" fillId="0" borderId="0" xfId="0" applyFont="1"/>
    <xf numFmtId="165" fontId="19" fillId="0" borderId="0" xfId="0" applyNumberFormat="1" applyFont="1"/>
    <xf numFmtId="0" fontId="18" fillId="4" borderId="1" xfId="0" applyFont="1" applyFill="1" applyBorder="1"/>
    <xf numFmtId="0" fontId="24" fillId="0" borderId="0" xfId="0" applyFont="1"/>
    <xf numFmtId="0" fontId="25" fillId="0" borderId="0" xfId="0" applyFont="1"/>
    <xf numFmtId="165" fontId="26" fillId="0" borderId="0" xfId="0" applyNumberFormat="1" applyFont="1"/>
    <xf numFmtId="165" fontId="19" fillId="7" borderId="0" xfId="0" applyNumberFormat="1" applyFont="1" applyFill="1"/>
    <xf numFmtId="0" fontId="7" fillId="0" borderId="0" xfId="0" applyFont="1" applyFill="1"/>
    <xf numFmtId="0" fontId="0" fillId="0" borderId="0" xfId="0" applyFill="1"/>
    <xf numFmtId="0" fontId="18" fillId="0" borderId="0" xfId="0" applyFont="1" applyFill="1" applyBorder="1"/>
    <xf numFmtId="0" fontId="27" fillId="3" borderId="0" xfId="0" applyFont="1" applyFill="1" applyAlignment="1">
      <alignment horizontal="right"/>
    </xf>
    <xf numFmtId="10" fontId="28" fillId="4" borderId="1" xfId="0" applyNumberFormat="1" applyFont="1" applyFill="1" applyBorder="1" applyAlignment="1" applyProtection="1">
      <alignment horizontal="center" vertical="center"/>
      <protection locked="0"/>
    </xf>
    <xf numFmtId="0" fontId="29" fillId="5" borderId="0" xfId="0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0" fillId="0" borderId="0" xfId="0" applyFont="1" applyFill="1"/>
    <xf numFmtId="0" fontId="7" fillId="0" borderId="15" xfId="0" applyFont="1" applyFill="1" applyBorder="1"/>
    <xf numFmtId="165" fontId="18" fillId="0" borderId="16" xfId="0" applyNumberFormat="1" applyFont="1" applyFill="1" applyBorder="1"/>
    <xf numFmtId="0" fontId="0" fillId="5" borderId="0" xfId="0" applyFont="1" applyFill="1"/>
    <xf numFmtId="0" fontId="31" fillId="5" borderId="0" xfId="0" applyFont="1" applyFill="1"/>
    <xf numFmtId="0" fontId="32" fillId="5" borderId="0" xfId="0" applyFont="1" applyFill="1" applyAlignment="1">
      <alignment vertical="center"/>
    </xf>
    <xf numFmtId="0" fontId="33" fillId="0" borderId="0" xfId="1" applyFont="1"/>
    <xf numFmtId="4" fontId="19" fillId="0" borderId="0" xfId="0" applyNumberFormat="1" applyFont="1" applyFill="1"/>
    <xf numFmtId="4" fontId="19" fillId="6" borderId="10" xfId="0" applyNumberFormat="1" applyFont="1" applyFill="1" applyBorder="1"/>
    <xf numFmtId="4" fontId="19" fillId="4" borderId="6" xfId="0" applyNumberFormat="1" applyFont="1" applyFill="1" applyBorder="1" applyAlignment="1">
      <alignment vertical="center"/>
    </xf>
    <xf numFmtId="4" fontId="19" fillId="5" borderId="6" xfId="0" applyNumberFormat="1" applyFont="1" applyFill="1" applyBorder="1" applyAlignment="1">
      <alignment vertical="center"/>
    </xf>
    <xf numFmtId="4" fontId="19" fillId="4" borderId="9" xfId="0" applyNumberFormat="1" applyFont="1" applyFill="1" applyBorder="1" applyAlignment="1">
      <alignment vertical="center"/>
    </xf>
    <xf numFmtId="0" fontId="20" fillId="7" borderId="17" xfId="0" applyFont="1" applyFill="1" applyBorder="1"/>
    <xf numFmtId="0" fontId="20" fillId="7" borderId="18" xfId="0" applyFont="1" applyFill="1" applyBorder="1"/>
    <xf numFmtId="0" fontId="34" fillId="4" borderId="19" xfId="0" applyFont="1" applyFill="1" applyBorder="1"/>
    <xf numFmtId="0" fontId="34" fillId="4" borderId="21" xfId="0" applyFont="1" applyFill="1" applyBorder="1"/>
    <xf numFmtId="4" fontId="26" fillId="4" borderId="0" xfId="0" applyNumberFormat="1" applyFont="1" applyFill="1"/>
    <xf numFmtId="0" fontId="35" fillId="3" borderId="0" xfId="1" applyFont="1" applyFill="1" applyAlignment="1">
      <alignment vertical="center"/>
    </xf>
    <xf numFmtId="0" fontId="36" fillId="2" borderId="0" xfId="1" quotePrefix="1" applyFont="1" applyFill="1" applyAlignment="1">
      <alignment vertical="center"/>
    </xf>
    <xf numFmtId="0" fontId="36" fillId="2" borderId="0" xfId="1" applyFont="1" applyFill="1" applyAlignment="1">
      <alignment vertical="center"/>
    </xf>
    <xf numFmtId="0" fontId="35" fillId="3" borderId="0" xfId="1" quotePrefix="1" applyFont="1" applyFill="1" applyAlignment="1">
      <alignment vertical="center"/>
    </xf>
    <xf numFmtId="0" fontId="37" fillId="4" borderId="0" xfId="0" applyFont="1" applyFill="1"/>
    <xf numFmtId="0" fontId="28" fillId="4" borderId="1" xfId="0" applyFont="1" applyFill="1" applyBorder="1" applyAlignment="1">
      <alignment horizontal="center"/>
    </xf>
    <xf numFmtId="0" fontId="20" fillId="7" borderId="13" xfId="0" applyFont="1" applyFill="1" applyBorder="1"/>
    <xf numFmtId="0" fontId="17" fillId="4" borderId="22" xfId="0" applyFont="1" applyFill="1" applyBorder="1"/>
    <xf numFmtId="4" fontId="17" fillId="4" borderId="19" xfId="0" applyNumberFormat="1" applyFont="1" applyFill="1" applyBorder="1"/>
    <xf numFmtId="167" fontId="38" fillId="4" borderId="19" xfId="0" applyNumberFormat="1" applyFont="1" applyFill="1" applyBorder="1"/>
    <xf numFmtId="0" fontId="17" fillId="4" borderId="23" xfId="0" applyFont="1" applyFill="1" applyBorder="1"/>
    <xf numFmtId="4" fontId="17" fillId="4" borderId="21" xfId="0" applyNumberFormat="1" applyFont="1" applyFill="1" applyBorder="1"/>
    <xf numFmtId="167" fontId="38" fillId="4" borderId="21" xfId="0" applyNumberFormat="1" applyFont="1" applyFill="1" applyBorder="1"/>
    <xf numFmtId="4" fontId="17" fillId="6" borderId="19" xfId="0" applyNumberFormat="1" applyFont="1" applyFill="1" applyBorder="1"/>
    <xf numFmtId="4" fontId="17" fillId="6" borderId="21" xfId="0" applyNumberFormat="1" applyFont="1" applyFill="1" applyBorder="1"/>
    <xf numFmtId="0" fontId="17" fillId="4" borderId="19" xfId="0" applyFont="1" applyFill="1" applyBorder="1"/>
    <xf numFmtId="4" fontId="19" fillId="6" borderId="20" xfId="0" applyNumberFormat="1" applyFont="1" applyFill="1" applyBorder="1"/>
    <xf numFmtId="0" fontId="17" fillId="4" borderId="21" xfId="0" applyFont="1" applyFill="1" applyBorder="1"/>
    <xf numFmtId="4" fontId="17" fillId="6" borderId="0" xfId="0" applyNumberFormat="1" applyFont="1" applyFill="1" applyBorder="1"/>
    <xf numFmtId="167" fontId="38" fillId="4" borderId="0" xfId="0" applyNumberFormat="1" applyFont="1" applyFill="1" applyBorder="1"/>
    <xf numFmtId="4" fontId="19" fillId="6" borderId="0" xfId="0" applyNumberFormat="1" applyFont="1" applyFill="1" applyBorder="1"/>
    <xf numFmtId="4" fontId="18" fillId="0" borderId="0" xfId="0" applyNumberFormat="1" applyFont="1" applyFill="1" applyBorder="1"/>
    <xf numFmtId="0" fontId="18" fillId="0" borderId="11" xfId="0" applyFont="1" applyFill="1" applyBorder="1"/>
    <xf numFmtId="0" fontId="39" fillId="0" borderId="0" xfId="0" applyFont="1"/>
    <xf numFmtId="0" fontId="0" fillId="0" borderId="0" xfId="0" applyBorder="1"/>
    <xf numFmtId="0" fontId="0" fillId="0" borderId="14" xfId="0" applyBorder="1"/>
    <xf numFmtId="0" fontId="17" fillId="0" borderId="0" xfId="0" applyFont="1" applyFill="1" applyBorder="1"/>
    <xf numFmtId="4" fontId="17" fillId="0" borderId="0" xfId="0" applyNumberFormat="1" applyFont="1" applyFill="1" applyBorder="1"/>
    <xf numFmtId="167" fontId="38" fillId="0" borderId="0" xfId="0" applyNumberFormat="1" applyFont="1" applyFill="1" applyBorder="1"/>
    <xf numFmtId="4" fontId="19" fillId="0" borderId="12" xfId="0" applyNumberFormat="1" applyFont="1" applyFill="1" applyBorder="1"/>
    <xf numFmtId="0" fontId="0" fillId="5" borderId="0" xfId="0" applyFill="1" applyBorder="1"/>
    <xf numFmtId="4" fontId="21" fillId="3" borderId="0" xfId="0" applyNumberFormat="1" applyFont="1" applyFill="1" applyBorder="1"/>
    <xf numFmtId="165" fontId="19" fillId="6" borderId="0" xfId="0" applyNumberFormat="1" applyFont="1" applyFill="1" applyBorder="1"/>
    <xf numFmtId="4" fontId="19" fillId="0" borderId="0" xfId="0" applyNumberFormat="1" applyFont="1" applyFill="1" applyBorder="1"/>
    <xf numFmtId="0" fontId="34" fillId="4" borderId="0" xfId="0" applyFont="1" applyFill="1" applyBorder="1"/>
    <xf numFmtId="0" fontId="0" fillId="3" borderId="0" xfId="0" applyFill="1" applyBorder="1"/>
    <xf numFmtId="4" fontId="19" fillId="6" borderId="12" xfId="0" applyNumberFormat="1" applyFont="1" applyFill="1" applyBorder="1"/>
    <xf numFmtId="167" fontId="38" fillId="0" borderId="12" xfId="0" applyNumberFormat="1" applyFont="1" applyFill="1" applyBorder="1"/>
    <xf numFmtId="0" fontId="16" fillId="2" borderId="0" xfId="0" applyFont="1" applyFill="1" applyAlignment="1">
      <alignment vertical="center"/>
    </xf>
    <xf numFmtId="0" fontId="28" fillId="4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color rgb="FFFFFFFF"/>
      </font>
      <fill>
        <patternFill patternType="solid">
          <fgColor indexed="64"/>
          <bgColor rgb="FFE65C5C"/>
        </patternFill>
      </fill>
    </dxf>
    <dxf>
      <font>
        <color rgb="FF0A0F0E"/>
      </font>
      <fill>
        <patternFill patternType="solid">
          <fgColor indexed="64"/>
          <bgColor rgb="FFF4ECBD"/>
        </patternFill>
      </fill>
    </dxf>
    <dxf>
      <font>
        <color rgb="FF0E4F47"/>
      </font>
      <fill>
        <patternFill patternType="solid">
          <fgColor indexed="64"/>
          <bgColor rgb="FF4ECB71"/>
        </patternFill>
      </fill>
    </dxf>
    <dxf>
      <font>
        <color rgb="FFFFFFFF"/>
      </font>
      <fill>
        <patternFill patternType="solid">
          <fgColor indexed="64"/>
          <bgColor rgb="FFE65C5C"/>
        </patternFill>
      </fill>
    </dxf>
    <dxf>
      <font>
        <color rgb="FF0A0F0E"/>
      </font>
      <fill>
        <patternFill patternType="solid">
          <fgColor indexed="64"/>
          <bgColor rgb="FFF4ECBD"/>
        </patternFill>
      </fill>
    </dxf>
    <dxf>
      <font>
        <color rgb="FF0E4F47"/>
      </font>
      <fill>
        <patternFill patternType="solid">
          <fgColor indexed="64"/>
          <bgColor rgb="FF4ECB7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E4F4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Avg Food Cost vs Gross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E4F47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Dashboard!$E$20:$F$20</c:f>
              <c:strCache>
                <c:ptCount val="2"/>
                <c:pt idx="0">
                  <c:v>Avg Food Cost %</c:v>
                </c:pt>
                <c:pt idx="1">
                  <c:v>Avg Gross Margin %</c:v>
                </c:pt>
              </c:strCache>
            </c:strRef>
          </c:cat>
          <c:val>
            <c:numRef>
              <c:f>Dashboard!$E$21:$F$21</c:f>
              <c:numCache>
                <c:formatCode>0.0%</c:formatCode>
                <c:ptCount val="2"/>
                <c:pt idx="0">
                  <c:v>0.20289250865367098</c:v>
                </c:pt>
                <c:pt idx="1">
                  <c:v>0.79710749134632897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75-4F4F-88E0-98AF760B8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E4F47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E4F47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Price Composition by Ingredient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E4F47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Dashboard!$F$25</c:f>
              <c:strCache>
                <c:ptCount val="1"/>
                <c:pt idx="0">
                  <c:v>% of Selling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Dashboard!$E$26:$E$38</c:f>
              <c:strCache>
                <c:ptCount val="13"/>
                <c:pt idx="0">
                  <c:v>Salmon fillet</c:v>
                </c:pt>
                <c:pt idx="1">
                  <c:v>Basmati rice</c:v>
                </c:pt>
                <c:pt idx="2">
                  <c:v>Avocado</c:v>
                </c:pt>
                <c:pt idx="3">
                  <c:v>Edamame</c:v>
                </c:pt>
                <c:pt idx="4">
                  <c:v>Sesame dressing</c:v>
                </c:pt>
                <c:pt idx="5">
                  <c:v>Spring onion</c:v>
                </c:pt>
                <c:pt idx="6">
                  <c:v>Sesame seeds</c:v>
                </c:pt>
                <c:pt idx="7">
                  <c:v>Lime wedge</c:v>
                </c:pt>
                <c:pt idx="8">
                  <c:v>Soy sauce</c:v>
                </c:pt>
                <c:pt idx="9">
                  <c:v>Pickled ginger</c:v>
                </c:pt>
                <c:pt idx="12">
                  <c:v>Gross Margin</c:v>
                </c:pt>
              </c:strCache>
            </c:strRef>
          </c:cat>
          <c:val>
            <c:numRef>
              <c:f>Dashboard!$F$26:$F$38</c:f>
              <c:numCache>
                <c:formatCode>0.0%</c:formatCode>
                <c:ptCount val="13"/>
                <c:pt idx="0">
                  <c:v>7.8637274549098204E-2</c:v>
                </c:pt>
                <c:pt idx="1">
                  <c:v>1.5727454909819642E-2</c:v>
                </c:pt>
                <c:pt idx="2">
                  <c:v>5.2424849699398805E-2</c:v>
                </c:pt>
                <c:pt idx="3">
                  <c:v>1.7474949899799603E-2</c:v>
                </c:pt>
                <c:pt idx="4">
                  <c:v>1.5727454909819642E-2</c:v>
                </c:pt>
                <c:pt idx="5">
                  <c:v>2.1843687374749504E-3</c:v>
                </c:pt>
                <c:pt idx="6">
                  <c:v>5.4609218436873757E-3</c:v>
                </c:pt>
                <c:pt idx="7">
                  <c:v>6.5531062124248507E-3</c:v>
                </c:pt>
                <c:pt idx="8">
                  <c:v>2.6212424849699403E-3</c:v>
                </c:pt>
                <c:pt idx="9">
                  <c:v>5.2424849699398805E-3</c:v>
                </c:pt>
                <c:pt idx="10">
                  <c:v>0</c:v>
                </c:pt>
                <c:pt idx="11">
                  <c:v>0</c:v>
                </c:pt>
                <c:pt idx="12">
                  <c:v>0.79794589178356712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C-472A-853D-CAA54ADD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E4F47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7</xdr:row>
      <xdr:rowOff>19050</xdr:rowOff>
    </xdr:from>
    <xdr:to>
      <xdr:col>17</xdr:col>
      <xdr:colOff>374650</xdr:colOff>
      <xdr:row>17</xdr:row>
      <xdr:rowOff>234950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935ED3-E4FA-9768-9388-AEE783975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228599</xdr:colOff>
      <xdr:row>22</xdr:row>
      <xdr:rowOff>85726</xdr:rowOff>
    </xdr:from>
    <xdr:to>
      <xdr:col>15</xdr:col>
      <xdr:colOff>333375</xdr:colOff>
      <xdr:row>38</xdr:row>
      <xdr:rowOff>57151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0DE6A6-95B6-B0E7-AB67-914C269E8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19050</xdr:colOff>
      <xdr:row>0</xdr:row>
      <xdr:rowOff>47625</xdr:rowOff>
    </xdr:from>
    <xdr:to>
      <xdr:col>1</xdr:col>
      <xdr:colOff>1639050</xdr:colOff>
      <xdr:row>1</xdr:row>
      <xdr:rowOff>11625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033184-F715-44B4-91B9-7834897E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7625"/>
          <a:ext cx="1620000" cy="421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47624</xdr:rowOff>
    </xdr:from>
    <xdr:to>
      <xdr:col>1</xdr:col>
      <xdr:colOff>1639049</xdr:colOff>
      <xdr:row>1</xdr:row>
      <xdr:rowOff>11624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2F02DD-8A31-466A-9D25-08613F049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47624"/>
          <a:ext cx="1620000" cy="42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1</xdr:col>
      <xdr:colOff>1639050</xdr:colOff>
      <xdr:row>1</xdr:row>
      <xdr:rowOff>11625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45752-BF01-4243-AF62-47E9BC2B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7625"/>
          <a:ext cx="1620000" cy="42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C9767C-20D8-4A13-8D29-A9C692AD60ED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cal.com/pointnumera/dish-profitability-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D945-DCE5-4136-B170-7C863346A26A}">
  <dimension ref="A1:J89"/>
  <sheetViews>
    <sheetView showGridLines="0" workbookViewId="0">
      <pane ySplit="5" topLeftCell="A6" activePane="bottomLeft" state="frozen"/>
      <selection pane="bottomLeft" activeCell="R19" sqref="R19"/>
    </sheetView>
  </sheetViews>
  <sheetFormatPr defaultRowHeight="12.75" x14ac:dyDescent="0.2"/>
  <cols>
    <col min="1" max="1" width="1.28515625" style="1" customWidth="1"/>
    <col min="2" max="2" width="31.42578125" style="1" customWidth="1"/>
    <col min="3" max="3" width="1.85546875" style="1" customWidth="1"/>
    <col min="4" max="4" width="1.5703125" style="1" customWidth="1"/>
    <col min="5" max="5" width="24.7109375" style="1" customWidth="1"/>
    <col min="6" max="6" width="21" style="1" customWidth="1"/>
    <col min="7" max="7" width="19" style="1" customWidth="1"/>
    <col min="8" max="9" width="21" style="1" customWidth="1"/>
    <col min="10" max="10" width="15.28515625" style="1" customWidth="1"/>
    <col min="11" max="12" width="2.85546875" style="1" customWidth="1"/>
    <col min="13" max="16384" width="9.140625" style="1"/>
  </cols>
  <sheetData>
    <row r="1" spans="1:10" ht="36" customHeight="1" x14ac:dyDescent="0.3">
      <c r="A1" s="5"/>
      <c r="B1" s="20"/>
      <c r="C1" s="7"/>
      <c r="E1" s="3" t="s">
        <v>26</v>
      </c>
    </row>
    <row r="2" spans="1:10" ht="18" customHeight="1" x14ac:dyDescent="0.2">
      <c r="A2" s="5"/>
      <c r="B2" s="118" t="s">
        <v>1</v>
      </c>
      <c r="C2" s="7"/>
      <c r="E2" s="4" t="s">
        <v>27</v>
      </c>
    </row>
    <row r="3" spans="1:10" ht="24.75" customHeight="1" x14ac:dyDescent="0.2">
      <c r="A3" s="7"/>
      <c r="B3" s="80" t="s">
        <v>2</v>
      </c>
      <c r="C3" s="7"/>
      <c r="E3" s="8" t="s">
        <v>28</v>
      </c>
    </row>
    <row r="4" spans="1:10" ht="21.95" customHeight="1" x14ac:dyDescent="0.2">
      <c r="A4" s="5"/>
      <c r="B4" s="81" t="s">
        <v>3</v>
      </c>
      <c r="C4" s="7"/>
    </row>
    <row r="5" spans="1:10" ht="21.95" customHeight="1" x14ac:dyDescent="0.2">
      <c r="A5" s="5"/>
      <c r="B5" s="82" t="s">
        <v>4</v>
      </c>
      <c r="C5" s="7"/>
    </row>
    <row r="6" spans="1:10" ht="21.95" customHeight="1" x14ac:dyDescent="0.2">
      <c r="A6" s="5"/>
      <c r="B6" s="5"/>
      <c r="C6" s="7"/>
      <c r="E6" s="62" t="s">
        <v>29</v>
      </c>
      <c r="F6" s="5"/>
      <c r="G6" s="5"/>
    </row>
    <row r="7" spans="1:10" ht="21" x14ac:dyDescent="0.2">
      <c r="A7" s="5"/>
      <c r="B7" s="5"/>
      <c r="C7" s="7"/>
      <c r="E7" s="61" t="s">
        <v>18</v>
      </c>
      <c r="F7" s="60">
        <v>0.3</v>
      </c>
    </row>
    <row r="8" spans="1:10" x14ac:dyDescent="0.2">
      <c r="A8" s="5"/>
      <c r="B8" s="5"/>
      <c r="C8" s="7"/>
    </row>
    <row r="9" spans="1:10" x14ac:dyDescent="0.2">
      <c r="A9" s="5"/>
      <c r="B9" s="5"/>
      <c r="C9" s="7"/>
      <c r="E9" s="9" t="s">
        <v>30</v>
      </c>
      <c r="F9" s="5"/>
      <c r="G9" s="5"/>
      <c r="H9" s="5"/>
      <c r="I9" s="5"/>
      <c r="J9" s="5"/>
    </row>
    <row r="10" spans="1:10" ht="24" customHeight="1" x14ac:dyDescent="0.2">
      <c r="A10" s="5"/>
      <c r="B10" s="5"/>
      <c r="C10" s="7"/>
      <c r="E10" s="10" t="s">
        <v>6</v>
      </c>
      <c r="F10" s="11" t="str">
        <f>"Selling Price ("&amp;'Dish Input'!$F$3&amp;")"</f>
        <v>Selling Price (CHF)</v>
      </c>
      <c r="G10" s="11" t="s">
        <v>14</v>
      </c>
      <c r="H10" s="11" t="str">
        <f>"Gross Margin ("&amp;'Dish Input'!$F$3&amp;")"</f>
        <v>Gross Margin (CHF)</v>
      </c>
      <c r="I10" s="11" t="s">
        <v>16</v>
      </c>
      <c r="J10" s="12" t="s">
        <v>31</v>
      </c>
    </row>
    <row r="11" spans="1:10" ht="24" customHeight="1" x14ac:dyDescent="0.2">
      <c r="A11" s="5"/>
      <c r="B11" s="5"/>
      <c r="C11" s="7"/>
      <c r="E11" s="37" t="str">
        <f>'Dish Input'!F7</f>
        <v>Grilled Salmon Bowl</v>
      </c>
      <c r="F11" s="72">
        <f>'Dish Input'!F10</f>
        <v>22.88990825688073</v>
      </c>
      <c r="G11" s="38">
        <f>'Dish Input'!J27</f>
        <v>0.20205410821643291</v>
      </c>
      <c r="H11" s="72">
        <f>'Dish Input'!J28</f>
        <v>18.26490825688073</v>
      </c>
      <c r="I11" s="38">
        <f>'Dish Input'!J29</f>
        <v>0.79794589178356712</v>
      </c>
      <c r="J11" s="43" t="str">
        <f>IF(F11=0,"—",IF(G11&lt;=$F$7,"✅ On Target",IF(G11&lt;=$F$7+0.05,"⚠ Watch","❌ Over")))</f>
        <v>✅ On Target</v>
      </c>
    </row>
    <row r="12" spans="1:10" ht="24" customHeight="1" x14ac:dyDescent="0.2">
      <c r="A12" s="5"/>
      <c r="B12" s="5"/>
      <c r="C12" s="7"/>
      <c r="E12" s="39" t="str">
        <f>'Dish Input'!F33</f>
        <v>Margherita Pizza</v>
      </c>
      <c r="F12" s="73">
        <f>'Dish Input'!F36</f>
        <v>15.137614678899082</v>
      </c>
      <c r="G12" s="40">
        <f>'Dish Input'!J53</f>
        <v>0.20373090909090907</v>
      </c>
      <c r="H12" s="73">
        <f>'Dish Input'!J54</f>
        <v>12.053614678899082</v>
      </c>
      <c r="I12" s="40">
        <f>'Dish Input'!J55</f>
        <v>0.79626909090909093</v>
      </c>
      <c r="J12" s="44" t="str">
        <f>IF(F12=0,"—",IF(G12&lt;=$F$7,"✅ On Target",IF(G12&lt;=$F$7+0.05,"⚠ Watch","❌ Over")))</f>
        <v>✅ On Target</v>
      </c>
    </row>
    <row r="13" spans="1:10" ht="24" customHeight="1" x14ac:dyDescent="0.2">
      <c r="A13" s="5"/>
      <c r="B13" s="5"/>
      <c r="C13" s="7"/>
      <c r="E13" s="37" t="str">
        <f>'Dish Input'!F59</f>
        <v>Dish 3</v>
      </c>
      <c r="F13" s="72">
        <f>'Dish Input'!F62</f>
        <v>0</v>
      </c>
      <c r="G13" s="38">
        <f>'Dish Input'!J79</f>
        <v>0</v>
      </c>
      <c r="H13" s="72">
        <f>'Dish Input'!J80</f>
        <v>0</v>
      </c>
      <c r="I13" s="38">
        <f>'Dish Input'!J81</f>
        <v>0</v>
      </c>
      <c r="J13" s="43" t="str">
        <f>IF(F13=0,"—",IF(G13&lt;=$F$7,"✅ On Target",IF(G13&lt;=$F$7+0.05,"⚠ Watch","❌ Over")))</f>
        <v>—</v>
      </c>
    </row>
    <row r="14" spans="1:10" ht="24" customHeight="1" x14ac:dyDescent="0.2">
      <c r="A14" s="5"/>
      <c r="B14" s="5"/>
      <c r="C14" s="7"/>
      <c r="E14" s="39" t="str">
        <f>'Dish Input'!F85</f>
        <v>Dish 4</v>
      </c>
      <c r="F14" s="73">
        <f>'Dish Input'!F88</f>
        <v>0</v>
      </c>
      <c r="G14" s="40">
        <f>'Dish Input'!J105</f>
        <v>0</v>
      </c>
      <c r="H14" s="73">
        <f>'Dish Input'!J106</f>
        <v>0</v>
      </c>
      <c r="I14" s="40">
        <f>'Dish Input'!J107</f>
        <v>0</v>
      </c>
      <c r="J14" s="44" t="str">
        <f>IF(F14=0,"—",IF(G14&lt;=$F$7,"✅ On Target",IF(G14&lt;=$F$7+0.05,"⚠ Watch","❌ Over")))</f>
        <v>—</v>
      </c>
    </row>
    <row r="15" spans="1:10" ht="24" customHeight="1" x14ac:dyDescent="0.2">
      <c r="A15" s="5"/>
      <c r="B15" s="5"/>
      <c r="C15" s="7"/>
      <c r="E15" s="41" t="str">
        <f>'Dish Input'!F111</f>
        <v>Dish 5</v>
      </c>
      <c r="F15" s="74">
        <f>'Dish Input'!F114</f>
        <v>0</v>
      </c>
      <c r="G15" s="42">
        <f>'Dish Input'!J131</f>
        <v>0</v>
      </c>
      <c r="H15" s="74">
        <f>'Dish Input'!J132</f>
        <v>0</v>
      </c>
      <c r="I15" s="42">
        <f>'Dish Input'!J133</f>
        <v>0</v>
      </c>
      <c r="J15" s="45" t="str">
        <f>IF(F15=0,"—",IF(G15&lt;=$F$7,"✅ On Target",IF(G15&lt;=$F$7+0.05,"⚠ Watch","❌ Over")))</f>
        <v>—</v>
      </c>
    </row>
    <row r="16" spans="1:10" ht="24" customHeight="1" x14ac:dyDescent="0.25">
      <c r="A16" s="5"/>
      <c r="B16" s="5"/>
      <c r="C16" s="7"/>
      <c r="E16"/>
      <c r="F16"/>
      <c r="G16"/>
      <c r="H16"/>
      <c r="I16"/>
      <c r="J16"/>
    </row>
    <row r="17" spans="1:10" ht="24" customHeight="1" x14ac:dyDescent="0.25">
      <c r="A17" s="5"/>
      <c r="B17" s="5"/>
      <c r="C17" s="7"/>
      <c r="E17" s="21" t="s">
        <v>32</v>
      </c>
      <c r="F17" s="59" t="s">
        <v>33</v>
      </c>
      <c r="G17" s="46">
        <f>IFERROR(AVERAGEIF(F11:F15,"&gt;0",G11:G15),0)</f>
        <v>0.20289250865367098</v>
      </c>
      <c r="H17" s="59" t="s">
        <v>34</v>
      </c>
      <c r="I17" s="46">
        <f>IFERROR(AVERAGEIF(F11:F15,"&gt;0",I11:I15),0)</f>
        <v>0.79710749134632897</v>
      </c>
      <c r="J17" s="22"/>
    </row>
    <row r="18" spans="1:10" ht="24" customHeight="1" x14ac:dyDescent="0.25">
      <c r="A18" s="5"/>
      <c r="B18" s="5"/>
      <c r="C18" s="7"/>
      <c r="E18"/>
      <c r="F18"/>
      <c r="G18"/>
      <c r="H18"/>
      <c r="I18"/>
      <c r="J18"/>
    </row>
    <row r="19" spans="1:10" ht="24" customHeight="1" x14ac:dyDescent="0.25">
      <c r="A19" s="5"/>
      <c r="B19" s="5"/>
      <c r="C19" s="7"/>
      <c r="E19" s="48" t="s">
        <v>35</v>
      </c>
      <c r="F19" s="47"/>
      <c r="G19" s="47"/>
      <c r="H19"/>
      <c r="I19"/>
      <c r="J19"/>
    </row>
    <row r="20" spans="1:10" ht="24" customHeight="1" x14ac:dyDescent="0.25">
      <c r="A20" s="5"/>
      <c r="B20" s="5"/>
      <c r="C20" s="7"/>
      <c r="E20" s="49" t="s">
        <v>36</v>
      </c>
      <c r="F20" s="49" t="s">
        <v>37</v>
      </c>
      <c r="G20"/>
      <c r="H20"/>
      <c r="I20"/>
      <c r="J20"/>
    </row>
    <row r="21" spans="1:10" ht="24" customHeight="1" x14ac:dyDescent="0.25">
      <c r="A21" s="5"/>
      <c r="B21" s="5"/>
      <c r="C21" s="7"/>
      <c r="E21" s="50">
        <f>G17</f>
        <v>0.20289250865367098</v>
      </c>
      <c r="F21" s="50">
        <f>I17</f>
        <v>0.79710749134632897</v>
      </c>
      <c r="G21"/>
      <c r="H21"/>
      <c r="I21"/>
      <c r="J21"/>
    </row>
    <row r="22" spans="1:10" ht="15" x14ac:dyDescent="0.25">
      <c r="A22" s="5"/>
      <c r="B22" s="5"/>
      <c r="C22" s="7"/>
      <c r="E22"/>
      <c r="F22"/>
      <c r="G22"/>
      <c r="H22"/>
      <c r="I22"/>
      <c r="J22"/>
    </row>
    <row r="23" spans="1:10" x14ac:dyDescent="0.2">
      <c r="A23" s="5"/>
      <c r="B23" s="5"/>
      <c r="C23" s="7"/>
      <c r="E23" s="9" t="s">
        <v>78</v>
      </c>
      <c r="F23" s="5"/>
      <c r="G23" s="5"/>
    </row>
    <row r="24" spans="1:10" ht="15" x14ac:dyDescent="0.25">
      <c r="A24" s="5"/>
      <c r="B24" s="5"/>
      <c r="C24" s="7"/>
      <c r="E24" s="30" t="s">
        <v>79</v>
      </c>
      <c r="F24" s="51" t="s">
        <v>59</v>
      </c>
      <c r="G24" s="52">
        <f>IFERROR(MATCH(F24,$E$11:$E$15,0),1)</f>
        <v>1</v>
      </c>
      <c r="H24"/>
      <c r="I24"/>
      <c r="J24"/>
    </row>
    <row r="25" spans="1:10" ht="15" x14ac:dyDescent="0.25">
      <c r="A25" s="5"/>
      <c r="B25" s="5"/>
      <c r="C25" s="7"/>
      <c r="E25" s="26" t="s">
        <v>38</v>
      </c>
      <c r="F25" s="26" t="s">
        <v>39</v>
      </c>
      <c r="G25" s="26" t="str">
        <f>"Cost ("&amp;'Dish Input'!$F$3&amp;")"</f>
        <v>Cost (CHF)</v>
      </c>
      <c r="H25"/>
      <c r="I25"/>
      <c r="J25"/>
    </row>
    <row r="26" spans="1:10" ht="15" x14ac:dyDescent="0.25">
      <c r="A26" s="5"/>
      <c r="B26" s="5"/>
      <c r="C26" s="7"/>
      <c r="E26" s="53" t="str">
        <f>IFERROR(IF(CHOOSE($G$24,'Dish Input'!E13,'Dish Input'!E39,'Dish Input'!E65,'Dish Input'!E91,'Dish Input'!E117)=0,"",CHOOSE($G$24,'Dish Input'!E13,'Dish Input'!E39,'Dish Input'!E65,'Dish Input'!E91,'Dish Input'!E117)),"")</f>
        <v>Salmon fillet</v>
      </c>
      <c r="F26" s="54">
        <f>IF(E26="","",IFERROR(CHOOSE($G$24,'Dish Input'!J13,'Dish Input'!J39,'Dish Input'!J65,'Dish Input'!J91,'Dish Input'!J117)/CHOOSE($G$24,'Dish Input'!F10,'Dish Input'!F36,'Dish Input'!F62,'Dish Input'!F88,'Dish Input'!F114),0))</f>
        <v>7.8637274549098204E-2</v>
      </c>
      <c r="G26" s="79">
        <f>IF(E26="","",IFERROR(CHOOSE($G$24,'Dish Input'!J13,'Dish Input'!J39,'Dish Input'!J65,'Dish Input'!J91,'Dish Input'!J117),0))</f>
        <v>1.8</v>
      </c>
      <c r="H26"/>
      <c r="I26"/>
      <c r="J26"/>
    </row>
    <row r="27" spans="1:10" ht="15" x14ac:dyDescent="0.25">
      <c r="A27" s="5"/>
      <c r="B27" s="5"/>
      <c r="C27" s="7"/>
      <c r="E27" s="53" t="str">
        <f>IFERROR(IF(CHOOSE($G$24,'Dish Input'!E14,'Dish Input'!E40,'Dish Input'!E66,'Dish Input'!E92,'Dish Input'!E118)=0,"",CHOOSE($G$24,'Dish Input'!E14,'Dish Input'!E40,'Dish Input'!E66,'Dish Input'!E92,'Dish Input'!E118)),"")</f>
        <v>Basmati rice</v>
      </c>
      <c r="F27" s="54">
        <f>IF(E27="","",IFERROR(CHOOSE($G$24,'Dish Input'!J14,'Dish Input'!J40,'Dish Input'!J66,'Dish Input'!J92,'Dish Input'!J118)/CHOOSE($G$24,'Dish Input'!F10,'Dish Input'!F36,'Dish Input'!F62,'Dish Input'!F88,'Dish Input'!F114),0))</f>
        <v>1.5727454909819642E-2</v>
      </c>
      <c r="G27" s="79">
        <f>IF(E27="","",IFERROR(CHOOSE($G$24,'Dish Input'!J14,'Dish Input'!J40,'Dish Input'!J66,'Dish Input'!J92,'Dish Input'!J118),0))</f>
        <v>0.36</v>
      </c>
      <c r="H27"/>
      <c r="I27"/>
      <c r="J27"/>
    </row>
    <row r="28" spans="1:10" ht="15" x14ac:dyDescent="0.25">
      <c r="A28" s="5"/>
      <c r="B28" s="5"/>
      <c r="C28" s="7"/>
      <c r="E28" s="53" t="str">
        <f>IFERROR(IF(CHOOSE($G$24,'Dish Input'!E15,'Dish Input'!E41,'Dish Input'!E67,'Dish Input'!E93,'Dish Input'!E119)=0,"",CHOOSE($G$24,'Dish Input'!E15,'Dish Input'!E41,'Dish Input'!E67,'Dish Input'!E93,'Dish Input'!E119)),"")</f>
        <v>Avocado</v>
      </c>
      <c r="F28" s="54">
        <f>IF(E28="","",IFERROR(CHOOSE($G$24,'Dish Input'!J15,'Dish Input'!J41,'Dish Input'!J67,'Dish Input'!J93,'Dish Input'!J119)/CHOOSE($G$24,'Dish Input'!F10,'Dish Input'!F36,'Dish Input'!F62,'Dish Input'!F88,'Dish Input'!F114),0))</f>
        <v>5.2424849699398805E-2</v>
      </c>
      <c r="G28" s="79">
        <f>IF(E28="","",IFERROR(CHOOSE($G$24,'Dish Input'!J15,'Dish Input'!J41,'Dish Input'!J67,'Dish Input'!J93,'Dish Input'!J119),0))</f>
        <v>1.2</v>
      </c>
      <c r="H28"/>
      <c r="I28"/>
      <c r="J28"/>
    </row>
    <row r="29" spans="1:10" ht="15" x14ac:dyDescent="0.25">
      <c r="A29" s="5"/>
      <c r="B29" s="5"/>
      <c r="C29" s="7"/>
      <c r="E29" s="53" t="str">
        <f>IFERROR(IF(CHOOSE($G$24,'Dish Input'!E16,'Dish Input'!E42,'Dish Input'!E68,'Dish Input'!E94,'Dish Input'!E120)=0,"",CHOOSE($G$24,'Dish Input'!E16,'Dish Input'!E42,'Dish Input'!E68,'Dish Input'!E94,'Dish Input'!E120)),"")</f>
        <v>Edamame</v>
      </c>
      <c r="F29" s="54">
        <f>IF(E29="","",IFERROR(CHOOSE($G$24,'Dish Input'!J16,'Dish Input'!J42,'Dish Input'!J68,'Dish Input'!J94,'Dish Input'!J120)/CHOOSE($G$24,'Dish Input'!F10,'Dish Input'!F36,'Dish Input'!F62,'Dish Input'!F88,'Dish Input'!F114),0))</f>
        <v>1.7474949899799603E-2</v>
      </c>
      <c r="G29" s="79">
        <f>IF(E29="","",IFERROR(CHOOSE($G$24,'Dish Input'!J16,'Dish Input'!J42,'Dish Input'!J68,'Dish Input'!J94,'Dish Input'!J120),0))</f>
        <v>0.4</v>
      </c>
      <c r="H29"/>
      <c r="I29"/>
      <c r="J29"/>
    </row>
    <row r="30" spans="1:10" ht="15" x14ac:dyDescent="0.25">
      <c r="A30" s="5"/>
      <c r="B30" s="5"/>
      <c r="C30" s="7"/>
      <c r="E30" s="53" t="str">
        <f>IFERROR(IF(CHOOSE($G$24,'Dish Input'!E17,'Dish Input'!E43,'Dish Input'!E69,'Dish Input'!E95,'Dish Input'!E121)=0,"",CHOOSE($G$24,'Dish Input'!E17,'Dish Input'!E43,'Dish Input'!E69,'Dish Input'!E95,'Dish Input'!E121)),"")</f>
        <v>Sesame dressing</v>
      </c>
      <c r="F30" s="54">
        <f>IF(E30="","",IFERROR(CHOOSE($G$24,'Dish Input'!J17,'Dish Input'!J43,'Dish Input'!J69,'Dish Input'!J95,'Dish Input'!J121)/CHOOSE($G$24,'Dish Input'!F10,'Dish Input'!F36,'Dish Input'!F62,'Dish Input'!F88,'Dish Input'!F114),0))</f>
        <v>1.5727454909819642E-2</v>
      </c>
      <c r="G30" s="79">
        <f>IF(E30="","",IFERROR(CHOOSE($G$24,'Dish Input'!J17,'Dish Input'!J43,'Dish Input'!J69,'Dish Input'!J95,'Dish Input'!J121),0))</f>
        <v>0.36</v>
      </c>
      <c r="H30"/>
      <c r="I30"/>
      <c r="J30"/>
    </row>
    <row r="31" spans="1:10" ht="15" x14ac:dyDescent="0.25">
      <c r="A31" s="5"/>
      <c r="B31" s="5"/>
      <c r="C31" s="7"/>
      <c r="E31" s="53" t="str">
        <f>IFERROR(IF(CHOOSE($G$24,'Dish Input'!E18,'Dish Input'!E44,'Dish Input'!E70,'Dish Input'!E96,'Dish Input'!E122)=0,"",CHOOSE($G$24,'Dish Input'!E18,'Dish Input'!E44,'Dish Input'!E70,'Dish Input'!E96,'Dish Input'!E122)),"")</f>
        <v>Spring onion</v>
      </c>
      <c r="F31" s="54">
        <f>IF(E31="","",IFERROR(CHOOSE($G$24,'Dish Input'!J18,'Dish Input'!J44,'Dish Input'!J70,'Dish Input'!J96,'Dish Input'!J122)/CHOOSE($G$24,'Dish Input'!F10,'Dish Input'!F36,'Dish Input'!F62,'Dish Input'!F88,'Dish Input'!F114),0))</f>
        <v>2.1843687374749504E-3</v>
      </c>
      <c r="G31" s="79">
        <f>IF(E31="","",IFERROR(CHOOSE($G$24,'Dish Input'!J18,'Dish Input'!J44,'Dish Input'!J70,'Dish Input'!J96,'Dish Input'!J122),0))</f>
        <v>0.05</v>
      </c>
      <c r="H31"/>
      <c r="I31"/>
      <c r="J31"/>
    </row>
    <row r="32" spans="1:10" ht="15" x14ac:dyDescent="0.25">
      <c r="A32" s="5"/>
      <c r="B32" s="5"/>
      <c r="C32" s="7"/>
      <c r="E32" s="53" t="str">
        <f>IFERROR(IF(CHOOSE($G$24,'Dish Input'!E19,'Dish Input'!E45,'Dish Input'!E71,'Dish Input'!E97,'Dish Input'!E123)=0,"",CHOOSE($G$24,'Dish Input'!E19,'Dish Input'!E45,'Dish Input'!E71,'Dish Input'!E97,'Dish Input'!E123)),"")</f>
        <v>Sesame seeds</v>
      </c>
      <c r="F32" s="54">
        <f>IF(E32="","",IFERROR(CHOOSE($G$24,'Dish Input'!J19,'Dish Input'!J45,'Dish Input'!J71,'Dish Input'!J97,'Dish Input'!J123)/CHOOSE($G$24,'Dish Input'!F10,'Dish Input'!F36,'Dish Input'!F62,'Dish Input'!F88,'Dish Input'!F114),0))</f>
        <v>5.4609218436873757E-3</v>
      </c>
      <c r="G32" s="79">
        <f>IF(E32="","",IFERROR(CHOOSE($G$24,'Dish Input'!J19,'Dish Input'!J45,'Dish Input'!J71,'Dish Input'!J97,'Dish Input'!J123),0))</f>
        <v>0.125</v>
      </c>
      <c r="H32"/>
      <c r="I32"/>
      <c r="J32"/>
    </row>
    <row r="33" spans="1:10" ht="15" x14ac:dyDescent="0.25">
      <c r="A33" s="5"/>
      <c r="B33" s="5"/>
      <c r="C33" s="7"/>
      <c r="E33" s="53" t="str">
        <f>IFERROR(IF(CHOOSE($G$24,'Dish Input'!E20,'Dish Input'!E46,'Dish Input'!E72,'Dish Input'!E98,'Dish Input'!E124)=0,"",CHOOSE($G$24,'Dish Input'!E20,'Dish Input'!E46,'Dish Input'!E72,'Dish Input'!E98,'Dish Input'!E124)),"")</f>
        <v>Lime wedge</v>
      </c>
      <c r="F33" s="54">
        <f>IF(E33="","",IFERROR(CHOOSE($G$24,'Dish Input'!J20,'Dish Input'!J46,'Dish Input'!J72,'Dish Input'!J98,'Dish Input'!J124)/CHOOSE($G$24,'Dish Input'!F10,'Dish Input'!F36,'Dish Input'!F62,'Dish Input'!F88,'Dish Input'!F114),0))</f>
        <v>6.5531062124248507E-3</v>
      </c>
      <c r="G33" s="79">
        <f>IF(E33="","",IFERROR(CHOOSE($G$24,'Dish Input'!J20,'Dish Input'!J46,'Dish Input'!J72,'Dish Input'!J98,'Dish Input'!J124),0))</f>
        <v>0.15</v>
      </c>
      <c r="H33"/>
      <c r="I33"/>
      <c r="J33"/>
    </row>
    <row r="34" spans="1:10" ht="15" x14ac:dyDescent="0.25">
      <c r="A34" s="5"/>
      <c r="B34" s="5"/>
      <c r="C34" s="7"/>
      <c r="E34" s="53" t="str">
        <f>IFERROR(IF(CHOOSE($G$24,'Dish Input'!E21,'Dish Input'!E47,'Dish Input'!E73,'Dish Input'!E99,'Dish Input'!E125)=0,"",CHOOSE($G$24,'Dish Input'!E21,'Dish Input'!E47,'Dish Input'!E73,'Dish Input'!E99,'Dish Input'!E125)),"")</f>
        <v>Soy sauce</v>
      </c>
      <c r="F34" s="54">
        <f>IF(E34="","",IFERROR(CHOOSE($G$24,'Dish Input'!J21,'Dish Input'!J47,'Dish Input'!J73,'Dish Input'!J99,'Dish Input'!J125)/CHOOSE($G$24,'Dish Input'!F10,'Dish Input'!F36,'Dish Input'!F62,'Dish Input'!F88,'Dish Input'!F114),0))</f>
        <v>2.6212424849699403E-3</v>
      </c>
      <c r="G34" s="79">
        <f>IF(E34="","",IFERROR(CHOOSE($G$24,'Dish Input'!J21,'Dish Input'!J47,'Dish Input'!J73,'Dish Input'!J99,'Dish Input'!J125),0))</f>
        <v>0.06</v>
      </c>
      <c r="H34"/>
      <c r="I34"/>
      <c r="J34"/>
    </row>
    <row r="35" spans="1:10" ht="15" x14ac:dyDescent="0.25">
      <c r="A35" s="5"/>
      <c r="B35" s="5"/>
      <c r="C35" s="7"/>
      <c r="E35" s="53" t="str">
        <f>IFERROR(IF(CHOOSE($G$24,'Dish Input'!E22,'Dish Input'!E48,'Dish Input'!E74,'Dish Input'!E100,'Dish Input'!E126)=0,"",CHOOSE($G$24,'Dish Input'!E22,'Dish Input'!E48,'Dish Input'!E74,'Dish Input'!E100,'Dish Input'!E126)),"")</f>
        <v>Pickled ginger</v>
      </c>
      <c r="F35" s="54">
        <f>IF(E35="","",IFERROR(CHOOSE($G$24,'Dish Input'!J22,'Dish Input'!J48,'Dish Input'!J74,'Dish Input'!J100,'Dish Input'!J126)/CHOOSE($G$24,'Dish Input'!F10,'Dish Input'!F36,'Dish Input'!F62,'Dish Input'!F88,'Dish Input'!F114),0))</f>
        <v>5.2424849699398805E-3</v>
      </c>
      <c r="G35" s="79">
        <f>IF(E35="","",IFERROR(CHOOSE($G$24,'Dish Input'!J22,'Dish Input'!J48,'Dish Input'!J74,'Dish Input'!J100,'Dish Input'!J126),0))</f>
        <v>0.12</v>
      </c>
      <c r="H35"/>
      <c r="I35"/>
      <c r="J35"/>
    </row>
    <row r="36" spans="1:10" ht="15" x14ac:dyDescent="0.25">
      <c r="A36" s="5"/>
      <c r="B36" s="5"/>
      <c r="C36" s="7"/>
      <c r="E36" s="53" t="str">
        <f>IFERROR(IF(CHOOSE($G$24,'Dish Input'!E23,'Dish Input'!E49,'Dish Input'!E75,'Dish Input'!E101,'Dish Input'!E127)=0,"",CHOOSE($G$24,'Dish Input'!E23,'Dish Input'!E49,'Dish Input'!E75,'Dish Input'!E101,'Dish Input'!E127)),"")</f>
        <v/>
      </c>
      <c r="F36" s="54" t="str">
        <f>IF(E36="","",IFERROR(CHOOSE($G$24,'Dish Input'!J23,'Dish Input'!J49,'Dish Input'!J75,'Dish Input'!J101,'Dish Input'!J127)/CHOOSE($G$24,'Dish Input'!F10,'Dish Input'!F36,'Dish Input'!F62,'Dish Input'!F88,'Dish Input'!F114),0))</f>
        <v/>
      </c>
      <c r="G36" s="79" t="str">
        <f>IF(E36="","",IFERROR(CHOOSE($G$24,'Dish Input'!J23,'Dish Input'!J49,'Dish Input'!J75,'Dish Input'!J101,'Dish Input'!J127),0))</f>
        <v/>
      </c>
      <c r="H36"/>
      <c r="I36"/>
      <c r="J36"/>
    </row>
    <row r="37" spans="1:10" ht="15" x14ac:dyDescent="0.25">
      <c r="A37" s="5"/>
      <c r="B37" s="5"/>
      <c r="C37" s="7"/>
      <c r="E37" s="53" t="str">
        <f>IFERROR(IF(CHOOSE($G$24,'Dish Input'!E24,'Dish Input'!E50,'Dish Input'!E76,'Dish Input'!E102,'Dish Input'!E128)=0,"",CHOOSE($G$24,'Dish Input'!E24,'Dish Input'!E50,'Dish Input'!E76,'Dish Input'!E102,'Dish Input'!E128)),"")</f>
        <v/>
      </c>
      <c r="F37" s="54" t="str">
        <f>IF(E37="","",IFERROR(CHOOSE($G$24,'Dish Input'!J24,'Dish Input'!J50,'Dish Input'!J76,'Dish Input'!J102,'Dish Input'!J128)/CHOOSE($G$24,'Dish Input'!F10,'Dish Input'!F36,'Dish Input'!F62,'Dish Input'!F88,'Dish Input'!F114),0))</f>
        <v/>
      </c>
      <c r="G37" s="79" t="str">
        <f>IF(E37="","",IFERROR(CHOOSE($G$24,'Dish Input'!J24,'Dish Input'!J50,'Dish Input'!J76,'Dish Input'!J102,'Dish Input'!J128),0))</f>
        <v/>
      </c>
      <c r="H37"/>
      <c r="I37"/>
      <c r="J37"/>
    </row>
    <row r="38" spans="1:10" ht="15" x14ac:dyDescent="0.25">
      <c r="A38" s="5"/>
      <c r="B38" s="5"/>
      <c r="C38" s="7"/>
      <c r="E38" s="32" t="s">
        <v>15</v>
      </c>
      <c r="F38" s="55">
        <f>IFERROR(CHOOSE($G$24,'Dish Input'!J28,'Dish Input'!J54,'Dish Input'!J80,'Dish Input'!J106,'Dish Input'!J132)/CHOOSE($G$24,'Dish Input'!F10,'Dish Input'!F36,'Dish Input'!F62,'Dish Input'!F88,'Dish Input'!F114),0)</f>
        <v>0.79794589178356712</v>
      </c>
      <c r="G38" s="33">
        <f>IFERROR(CHOOSE($G$24,'Dish Input'!J28,'Dish Input'!J54,'Dish Input'!J80,'Dish Input'!J106,'Dish Input'!J132),0)</f>
        <v>18.26490825688073</v>
      </c>
      <c r="H38"/>
      <c r="I38"/>
      <c r="J38"/>
    </row>
    <row r="39" spans="1:10" x14ac:dyDescent="0.2">
      <c r="A39" s="5"/>
      <c r="B39" s="5"/>
      <c r="C39" s="7"/>
    </row>
    <row r="40" spans="1:10" x14ac:dyDescent="0.2">
      <c r="A40" s="5"/>
      <c r="B40" s="5"/>
      <c r="C40" s="7"/>
    </row>
    <row r="41" spans="1:10" x14ac:dyDescent="0.2">
      <c r="A41" s="5"/>
      <c r="B41" s="5"/>
      <c r="C41" s="7"/>
    </row>
    <row r="42" spans="1:10" x14ac:dyDescent="0.2">
      <c r="A42" s="5"/>
      <c r="B42" s="5"/>
      <c r="C42" s="7"/>
    </row>
    <row r="43" spans="1:10" x14ac:dyDescent="0.2">
      <c r="A43" s="5"/>
      <c r="B43" s="5"/>
      <c r="C43" s="7"/>
    </row>
    <row r="44" spans="1:10" x14ac:dyDescent="0.2">
      <c r="A44" s="5"/>
      <c r="B44" s="5"/>
      <c r="C44" s="7"/>
    </row>
    <row r="45" spans="1:10" x14ac:dyDescent="0.2">
      <c r="A45" s="5"/>
      <c r="B45" s="5"/>
      <c r="C45" s="7"/>
    </row>
    <row r="46" spans="1:10" x14ac:dyDescent="0.2">
      <c r="A46" s="5"/>
      <c r="B46" s="5"/>
      <c r="C46" s="7"/>
    </row>
    <row r="47" spans="1:10" x14ac:dyDescent="0.2">
      <c r="A47" s="5"/>
      <c r="B47" s="5"/>
      <c r="C47" s="7"/>
    </row>
    <row r="48" spans="1:10" x14ac:dyDescent="0.2">
      <c r="A48" s="5"/>
      <c r="B48" s="5"/>
      <c r="C48" s="7"/>
    </row>
    <row r="49" spans="1:3" x14ac:dyDescent="0.2">
      <c r="A49" s="5"/>
      <c r="B49" s="5"/>
      <c r="C49" s="7"/>
    </row>
    <row r="50" spans="1:3" x14ac:dyDescent="0.2">
      <c r="A50" s="5"/>
      <c r="B50" s="5"/>
      <c r="C50" s="7"/>
    </row>
    <row r="51" spans="1:3" x14ac:dyDescent="0.2">
      <c r="A51" s="5"/>
      <c r="B51" s="5"/>
      <c r="C51" s="7"/>
    </row>
    <row r="52" spans="1:3" x14ac:dyDescent="0.2">
      <c r="A52" s="5"/>
      <c r="B52" s="5"/>
      <c r="C52" s="7"/>
    </row>
    <row r="53" spans="1:3" x14ac:dyDescent="0.2">
      <c r="A53" s="5"/>
      <c r="B53" s="5"/>
      <c r="C53" s="7"/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/>
      <c r="B56" s="5"/>
      <c r="C56" s="7"/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/>
      <c r="B59" s="5"/>
      <c r="C59" s="7"/>
    </row>
    <row r="60" spans="1:3" x14ac:dyDescent="0.2">
      <c r="A60" s="5"/>
      <c r="B60" s="5"/>
      <c r="C60" s="7"/>
    </row>
    <row r="61" spans="1:3" x14ac:dyDescent="0.2">
      <c r="A61" s="5"/>
      <c r="B61" s="5"/>
      <c r="C61" s="7"/>
    </row>
    <row r="62" spans="1:3" x14ac:dyDescent="0.2">
      <c r="A62" s="5"/>
      <c r="B62" s="5"/>
      <c r="C62" s="7"/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/>
      <c r="B65" s="5"/>
      <c r="C65" s="7"/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/>
      <c r="B68" s="5"/>
      <c r="C68" s="7"/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/>
      <c r="B71" s="5"/>
      <c r="C71" s="7"/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/>
      <c r="B74" s="5"/>
      <c r="C74" s="7"/>
    </row>
    <row r="75" spans="1:3" x14ac:dyDescent="0.2">
      <c r="A75" s="5"/>
      <c r="B75" s="5"/>
      <c r="C75" s="7"/>
    </row>
    <row r="76" spans="1:3" x14ac:dyDescent="0.2">
      <c r="A76" s="5"/>
      <c r="B76" s="5"/>
      <c r="C76" s="7"/>
    </row>
    <row r="77" spans="1:3" x14ac:dyDescent="0.2">
      <c r="A77" s="5"/>
      <c r="B77" s="5"/>
      <c r="C77" s="7"/>
    </row>
    <row r="78" spans="1:3" x14ac:dyDescent="0.2">
      <c r="A78" s="5"/>
      <c r="B78" s="5"/>
      <c r="C78" s="7"/>
    </row>
    <row r="79" spans="1:3" x14ac:dyDescent="0.2">
      <c r="A79" s="5"/>
      <c r="B79" s="5"/>
      <c r="C79" s="7"/>
    </row>
    <row r="80" spans="1:3" x14ac:dyDescent="0.2">
      <c r="A80" s="5"/>
      <c r="B80" s="5"/>
      <c r="C80" s="7"/>
    </row>
    <row r="81" spans="1:3" x14ac:dyDescent="0.2">
      <c r="A81" s="5"/>
      <c r="B81" s="5"/>
      <c r="C81" s="7"/>
    </row>
    <row r="82" spans="1:3" x14ac:dyDescent="0.2">
      <c r="A82" s="5"/>
      <c r="B82" s="5"/>
      <c r="C82" s="7"/>
    </row>
    <row r="83" spans="1:3" x14ac:dyDescent="0.2">
      <c r="A83" s="5"/>
      <c r="B83" s="5"/>
      <c r="C83" s="7"/>
    </row>
    <row r="84" spans="1:3" x14ac:dyDescent="0.2">
      <c r="A84" s="5"/>
      <c r="B84" s="5"/>
      <c r="C84" s="7"/>
    </row>
    <row r="85" spans="1:3" x14ac:dyDescent="0.2">
      <c r="A85" s="5"/>
      <c r="B85" s="5"/>
      <c r="C85" s="7"/>
    </row>
    <row r="86" spans="1:3" x14ac:dyDescent="0.2">
      <c r="A86" s="5"/>
      <c r="B86" s="5"/>
      <c r="C86" s="7"/>
    </row>
    <row r="87" spans="1:3" x14ac:dyDescent="0.2">
      <c r="A87" s="5"/>
      <c r="B87" s="5"/>
      <c r="C87" s="7"/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</sheetData>
  <conditionalFormatting sqref="J11:J15">
    <cfRule type="containsText" dxfId="2" priority="1" operator="containsText" text="On Target">
      <formula>NOT(ISERROR(SEARCH("On Target",J11)))</formula>
    </cfRule>
  </conditionalFormatting>
  <conditionalFormatting sqref="J11:J15">
    <cfRule type="containsText" dxfId="1" priority="2" operator="containsText" text="Watch">
      <formula>NOT(ISERROR(SEARCH("Watch",J11)))</formula>
    </cfRule>
  </conditionalFormatting>
  <conditionalFormatting sqref="J11:J15">
    <cfRule type="containsText" dxfId="0" priority="3" operator="containsText" text="Over">
      <formula>NOT(ISERROR(SEARCH("Over",J11)))</formula>
    </cfRule>
  </conditionalFormatting>
  <dataValidations count="1">
    <dataValidation type="list" allowBlank="1" showInputMessage="1" showErrorMessage="1" sqref="F24" xr:uid="{0A9A9D06-EE9D-4328-8742-825DA1307720}">
      <formula1>$E$11:$E$15</formula1>
    </dataValidation>
  </dataValidations>
  <hyperlinks>
    <hyperlink ref="B3" location="Dashboard!E1" tooltip="Go to Dashboard" display="Dashboard!E1" xr:uid="{26D47AF9-A47F-493A-9A9F-0F627AEF0E16}"/>
    <hyperlink ref="B4" location="'Dish Input'!E1" tooltip="Go to Dish Input" display="'Dish Input'!E1" xr:uid="{AA9F2DC8-AC4A-4DDF-8E7C-996E5E58C6FF}"/>
    <hyperlink ref="B5" location="Notes!E1" tooltip="Go to Notes" display="Notes!E1" xr:uid="{196C1E20-8BD5-48F7-8F48-B92283A3868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E918-D967-424F-BD1F-F9112AD05E61}">
  <dimension ref="A1:L256"/>
  <sheetViews>
    <sheetView showGridLines="0" workbookViewId="0">
      <pane ySplit="5" topLeftCell="A6" activePane="bottomLeft" state="frozen"/>
      <selection pane="bottomLeft" activeCell="Q20" sqref="Q20"/>
    </sheetView>
  </sheetViews>
  <sheetFormatPr defaultRowHeight="15" x14ac:dyDescent="0.25"/>
  <cols>
    <col min="1" max="1" width="1.28515625" style="1" customWidth="1"/>
    <col min="2" max="2" width="31.42578125" style="1" customWidth="1"/>
    <col min="3" max="3" width="1.85546875" style="1" customWidth="1"/>
    <col min="4" max="4" width="1.5703125" style="1" customWidth="1"/>
    <col min="5" max="5" width="22.85546875" style="1" customWidth="1"/>
    <col min="6" max="6" width="11.42578125" style="1" customWidth="1"/>
    <col min="7" max="7" width="8.5703125" style="1" customWidth="1"/>
    <col min="8" max="8" width="16.140625" style="1" customWidth="1"/>
    <col min="9" max="9" width="11.42578125" style="1" customWidth="1"/>
    <col min="10" max="10" width="20" style="1" customWidth="1"/>
    <col min="11" max="11" width="19" customWidth="1"/>
    <col min="12" max="12" width="11.42578125" customWidth="1"/>
    <col min="13" max="16384" width="9.140625" style="1"/>
  </cols>
  <sheetData>
    <row r="1" spans="1:10" ht="36" customHeight="1" x14ac:dyDescent="0.3">
      <c r="A1" s="5"/>
      <c r="B1" s="20"/>
      <c r="C1" s="7"/>
      <c r="E1" s="3" t="s">
        <v>0</v>
      </c>
    </row>
    <row r="2" spans="1:10" ht="18" customHeight="1" x14ac:dyDescent="0.25">
      <c r="A2" s="5"/>
      <c r="B2" s="118" t="s">
        <v>1</v>
      </c>
      <c r="C2" s="7"/>
      <c r="E2" s="103" t="s">
        <v>89</v>
      </c>
    </row>
    <row r="3" spans="1:10" ht="24.95" customHeight="1" x14ac:dyDescent="0.35">
      <c r="A3" s="5"/>
      <c r="B3" s="82" t="s">
        <v>2</v>
      </c>
      <c r="C3" s="7"/>
      <c r="E3" s="84" t="s">
        <v>86</v>
      </c>
      <c r="F3" s="85" t="s">
        <v>88</v>
      </c>
    </row>
    <row r="4" spans="1:10" ht="21.95" customHeight="1" x14ac:dyDescent="0.35">
      <c r="A4" s="7"/>
      <c r="B4" s="83" t="s">
        <v>3</v>
      </c>
      <c r="C4" s="7"/>
      <c r="E4" s="84"/>
      <c r="F4" s="119"/>
    </row>
    <row r="5" spans="1:10" ht="21.95" customHeight="1" x14ac:dyDescent="0.25">
      <c r="A5" s="5"/>
      <c r="B5" s="82" t="s">
        <v>4</v>
      </c>
      <c r="C5" s="7"/>
      <c r="E5"/>
      <c r="F5"/>
      <c r="G5"/>
      <c r="H5"/>
      <c r="I5"/>
      <c r="J5"/>
    </row>
    <row r="6" spans="1:10" ht="21.95" customHeight="1" x14ac:dyDescent="0.25">
      <c r="A6" s="5"/>
      <c r="B6" s="5"/>
      <c r="C6" s="7"/>
      <c r="E6" s="6" t="s">
        <v>5</v>
      </c>
      <c r="F6" s="6"/>
      <c r="G6" s="6"/>
      <c r="H6" s="6"/>
      <c r="I6" s="6"/>
      <c r="J6" s="6"/>
    </row>
    <row r="7" spans="1:10" x14ac:dyDescent="0.25">
      <c r="A7" s="5"/>
      <c r="B7" s="5"/>
      <c r="C7" s="7"/>
      <c r="E7" s="56" t="s">
        <v>6</v>
      </c>
      <c r="F7" s="102" t="s">
        <v>59</v>
      </c>
      <c r="G7" s="102"/>
      <c r="H7" s="102"/>
      <c r="I7" s="58"/>
      <c r="J7" s="58"/>
    </row>
    <row r="8" spans="1:10" x14ac:dyDescent="0.25">
      <c r="A8" s="5"/>
      <c r="B8" s="5"/>
      <c r="C8" s="7"/>
      <c r="E8" s="56" t="s">
        <v>7</v>
      </c>
      <c r="F8" s="101">
        <v>24.95</v>
      </c>
      <c r="G8" s="57"/>
      <c r="H8" s="57"/>
      <c r="I8" s="57"/>
      <c r="J8" s="57"/>
    </row>
    <row r="9" spans="1:10" ht="15.75" thickBot="1" x14ac:dyDescent="0.3">
      <c r="A9" s="5"/>
      <c r="B9" s="5"/>
      <c r="C9" s="7"/>
      <c r="E9" s="64" t="s">
        <v>8</v>
      </c>
      <c r="F9" s="65">
        <v>0.09</v>
      </c>
      <c r="G9" s="57"/>
      <c r="H9" s="57"/>
      <c r="I9" s="57"/>
      <c r="J9" s="57"/>
    </row>
    <row r="10" spans="1:10" ht="15.75" thickTop="1" x14ac:dyDescent="0.25">
      <c r="A10" s="5"/>
      <c r="B10" s="5"/>
      <c r="C10" s="7"/>
      <c r="E10" s="63" t="s">
        <v>9</v>
      </c>
      <c r="F10" s="70">
        <f>IFERROR(F8/(1+F9),0)</f>
        <v>22.88990825688073</v>
      </c>
      <c r="G10" s="57"/>
      <c r="H10" s="57"/>
      <c r="I10" s="57"/>
      <c r="J10" s="57"/>
    </row>
    <row r="11" spans="1:10" x14ac:dyDescent="0.25">
      <c r="A11" s="5"/>
      <c r="B11" s="5"/>
      <c r="C11" s="7"/>
      <c r="E11" s="57"/>
      <c r="F11"/>
      <c r="G11"/>
      <c r="H11"/>
      <c r="I11"/>
      <c r="J11"/>
    </row>
    <row r="12" spans="1:10" x14ac:dyDescent="0.25">
      <c r="A12" s="5"/>
      <c r="B12" s="5"/>
      <c r="C12" s="7"/>
      <c r="E12" s="86" t="s">
        <v>10</v>
      </c>
      <c r="F12" s="75" t="s">
        <v>11</v>
      </c>
      <c r="G12" s="75" t="s">
        <v>12</v>
      </c>
      <c r="H12" s="75" t="str">
        <f>"Cost / Bulk ("&amp;$F$3&amp;")"</f>
        <v>Cost / Bulk (CHF)</v>
      </c>
      <c r="I12" s="75" t="s">
        <v>87</v>
      </c>
      <c r="J12" s="76" t="str">
        <f>"Cost / Portion ("&amp;$F$3&amp;")"</f>
        <v>Cost / Portion (CHF)</v>
      </c>
    </row>
    <row r="13" spans="1:10" x14ac:dyDescent="0.25">
      <c r="A13" s="5"/>
      <c r="B13" s="5"/>
      <c r="C13" s="7"/>
      <c r="E13" s="87" t="s">
        <v>60</v>
      </c>
      <c r="F13" s="88">
        <v>180</v>
      </c>
      <c r="G13" s="95" t="s">
        <v>61</v>
      </c>
      <c r="H13" s="88">
        <v>10</v>
      </c>
      <c r="I13" s="77" t="str">
        <f>IF(G13="","",IF(G13="g","per kg",IF(G13="ml","per L",IF(G13="oz","per lb",IF(G13="kg","per kg",IF(G13="L","per L",IF(G13="lb","per lb",IF(G13="fl oz","per fl oz","per unit"))))))))</f>
        <v>per kg</v>
      </c>
      <c r="J13" s="96">
        <f>IF(F13="","",IF(OR(G13="g",G13="ml"),H13/1000*F13,IF(G13="oz",H13/16*F13,H13*F13)))</f>
        <v>1.8</v>
      </c>
    </row>
    <row r="14" spans="1:10" x14ac:dyDescent="0.25">
      <c r="A14" s="5"/>
      <c r="B14" s="5"/>
      <c r="C14" s="7"/>
      <c r="E14" s="87" t="s">
        <v>62</v>
      </c>
      <c r="F14" s="88">
        <v>120</v>
      </c>
      <c r="G14" s="95" t="s">
        <v>61</v>
      </c>
      <c r="H14" s="88">
        <v>3</v>
      </c>
      <c r="I14" s="77" t="str">
        <f>IF(G14="","",IF(G14="g","per kg",IF(G14="ml","per L",IF(G14="oz","per lb",IF(G14="kg","per kg",IF(G14="L","per L",IF(G14="lb","per lb",IF(G14="fl oz","per fl oz","per unit"))))))))</f>
        <v>per kg</v>
      </c>
      <c r="J14" s="96">
        <f t="shared" ref="J14:J24" si="0">IF(F14="","",IF(OR(G14="g",G14="ml"),H14/1000*F14,IF(G14="oz",H14/16*F14,H14*F14)))</f>
        <v>0.36</v>
      </c>
    </row>
    <row r="15" spans="1:10" x14ac:dyDescent="0.25">
      <c r="A15" s="5"/>
      <c r="B15" s="5"/>
      <c r="C15" s="7"/>
      <c r="E15" s="87" t="s">
        <v>63</v>
      </c>
      <c r="F15" s="88">
        <v>80</v>
      </c>
      <c r="G15" s="95" t="s">
        <v>61</v>
      </c>
      <c r="H15" s="88">
        <v>15</v>
      </c>
      <c r="I15" s="77" t="str">
        <f>IF(G15="","",IF(G15="g","per kg",IF(G15="ml","per L",IF(G15="oz","per lb",IF(G15="kg","per kg",IF(G15="L","per L",IF(G15="lb","per lb",IF(G15="fl oz","per fl oz","per unit"))))))))</f>
        <v>per kg</v>
      </c>
      <c r="J15" s="96">
        <f t="shared" si="0"/>
        <v>1.2</v>
      </c>
    </row>
    <row r="16" spans="1:10" x14ac:dyDescent="0.25">
      <c r="A16" s="5"/>
      <c r="B16" s="5"/>
      <c r="C16" s="7"/>
      <c r="E16" s="87" t="s">
        <v>64</v>
      </c>
      <c r="F16" s="88">
        <v>50</v>
      </c>
      <c r="G16" s="95" t="s">
        <v>61</v>
      </c>
      <c r="H16" s="88">
        <v>8</v>
      </c>
      <c r="I16" s="77" t="str">
        <f>IF(G16="","",IF(G16="g","per kg",IF(G16="ml","per L",IF(G16="oz","per lb",IF(G16="kg","per kg",IF(G16="L","per L",IF(G16="lb","per lb",IF(G16="fl oz","per fl oz","per unit"))))))))</f>
        <v>per kg</v>
      </c>
      <c r="J16" s="96">
        <f t="shared" si="0"/>
        <v>0.4</v>
      </c>
    </row>
    <row r="17" spans="1:11" x14ac:dyDescent="0.25">
      <c r="A17" s="5"/>
      <c r="B17" s="5"/>
      <c r="C17" s="7"/>
      <c r="E17" s="87" t="s">
        <v>65</v>
      </c>
      <c r="F17" s="88">
        <v>30</v>
      </c>
      <c r="G17" s="95" t="s">
        <v>66</v>
      </c>
      <c r="H17" s="88">
        <v>12</v>
      </c>
      <c r="I17" s="77" t="str">
        <f>IF(G17="","",IF(G17="g","per kg",IF(G17="ml","per L",IF(G17="oz","per lb",IF(G17="kg","per kg",IF(G17="L","per L",IF(G17="lb","per lb",IF(G17="fl oz","per fl oz","per unit"))))))))</f>
        <v>per L</v>
      </c>
      <c r="J17" s="96">
        <f t="shared" si="0"/>
        <v>0.36</v>
      </c>
    </row>
    <row r="18" spans="1:11" x14ac:dyDescent="0.25">
      <c r="A18" s="5"/>
      <c r="B18" s="5"/>
      <c r="C18" s="7"/>
      <c r="E18" s="87" t="s">
        <v>67</v>
      </c>
      <c r="F18" s="88">
        <v>10</v>
      </c>
      <c r="G18" s="95" t="s">
        <v>61</v>
      </c>
      <c r="H18" s="88">
        <v>5</v>
      </c>
      <c r="I18" s="77" t="str">
        <f>IF(G18="","",IF(G18="g","per kg",IF(G18="ml","per L",IF(G18="oz","per lb",IF(G18="kg","per kg",IF(G18="L","per L",IF(G18="lb","per lb",IF(G18="fl oz","per fl oz","per unit"))))))))</f>
        <v>per kg</v>
      </c>
      <c r="J18" s="96">
        <f t="shared" si="0"/>
        <v>0.05</v>
      </c>
    </row>
    <row r="19" spans="1:11" x14ac:dyDescent="0.25">
      <c r="A19" s="5"/>
      <c r="B19" s="5"/>
      <c r="C19" s="7"/>
      <c r="E19" s="87" t="s">
        <v>68</v>
      </c>
      <c r="F19" s="88">
        <v>5</v>
      </c>
      <c r="G19" s="95" t="s">
        <v>61</v>
      </c>
      <c r="H19" s="88">
        <v>25</v>
      </c>
      <c r="I19" s="77" t="str">
        <f>IF(G19="","",IF(G19="g","per kg",IF(G19="ml","per L",IF(G19="oz","per lb",IF(G19="kg","per kg",IF(G19="L","per L",IF(G19="lb","per lb",IF(G19="fl oz","per fl oz","per unit"))))))))</f>
        <v>per kg</v>
      </c>
      <c r="J19" s="96">
        <f t="shared" si="0"/>
        <v>0.125</v>
      </c>
    </row>
    <row r="20" spans="1:11" ht="12.75" customHeight="1" x14ac:dyDescent="0.25">
      <c r="A20" s="5"/>
      <c r="B20" s="5"/>
      <c r="C20" s="7"/>
      <c r="E20" s="87" t="s">
        <v>69</v>
      </c>
      <c r="F20" s="88">
        <v>1</v>
      </c>
      <c r="G20" s="95" t="s">
        <v>70</v>
      </c>
      <c r="H20" s="88">
        <v>0.15</v>
      </c>
      <c r="I20" s="77" t="str">
        <f>IF(G20="","",IF(G20="g","per kg",IF(G20="ml","per L",IF(G20="oz","per lb",IF(G20="kg","per kg",IF(G20="L","per L",IF(G20="lb","per lb",IF(G20="fl oz","per fl oz","per unit"))))))))</f>
        <v>per unit</v>
      </c>
      <c r="J20" s="96">
        <f t="shared" si="0"/>
        <v>0.15</v>
      </c>
    </row>
    <row r="21" spans="1:11" x14ac:dyDescent="0.25">
      <c r="A21" s="5"/>
      <c r="B21" s="5"/>
      <c r="C21" s="7"/>
      <c r="E21" s="87" t="s">
        <v>80</v>
      </c>
      <c r="F21" s="88">
        <v>15</v>
      </c>
      <c r="G21" s="95" t="s">
        <v>66</v>
      </c>
      <c r="H21" s="88">
        <v>4</v>
      </c>
      <c r="I21" s="77" t="str">
        <f>IF(G21="","",IF(G21="g","per kg",IF(G21="ml","per L",IF(G21="oz","per lb",IF(G21="kg","per kg",IF(G21="L","per L",IF(G21="lb","per lb",IF(G21="fl oz","per fl oz","per unit"))))))))</f>
        <v>per L</v>
      </c>
      <c r="J21" s="96">
        <f t="shared" si="0"/>
        <v>0.06</v>
      </c>
    </row>
    <row r="22" spans="1:11" x14ac:dyDescent="0.25">
      <c r="A22" s="5"/>
      <c r="B22" s="5"/>
      <c r="C22" s="7"/>
      <c r="E22" s="87" t="s">
        <v>81</v>
      </c>
      <c r="F22" s="88">
        <v>10</v>
      </c>
      <c r="G22" s="95" t="s">
        <v>61</v>
      </c>
      <c r="H22" s="88">
        <v>12</v>
      </c>
      <c r="I22" s="77" t="str">
        <f>IF(G22="","",IF(G22="g","per kg",IF(G22="ml","per L",IF(G22="oz","per lb",IF(G22="kg","per kg",IF(G22="L","per L",IF(G22="lb","per lb",IF(G22="fl oz","per fl oz","per unit"))))))))</f>
        <v>per kg</v>
      </c>
      <c r="J22" s="96">
        <f t="shared" si="0"/>
        <v>0.12</v>
      </c>
    </row>
    <row r="23" spans="1:11" x14ac:dyDescent="0.25">
      <c r="A23" s="5"/>
      <c r="B23" s="5"/>
      <c r="C23" s="7"/>
      <c r="E23" s="87"/>
      <c r="F23" s="88"/>
      <c r="G23" s="95"/>
      <c r="H23" s="88"/>
      <c r="I23" s="77" t="str">
        <f>IF(G23="","",IF(G23="g","per kg",IF(G23="ml","per L",IF(G23="oz","per lb",IF(G23="kg","per kg",IF(G23="L","per L",IF(G23="lb","per lb",IF(G23="fl oz","per fl oz","per unit"))))))))</f>
        <v/>
      </c>
      <c r="J23" s="96" t="str">
        <f t="shared" si="0"/>
        <v/>
      </c>
    </row>
    <row r="24" spans="1:11" x14ac:dyDescent="0.25">
      <c r="A24" s="5"/>
      <c r="B24" s="5"/>
      <c r="C24" s="7"/>
      <c r="E24" s="90"/>
      <c r="F24" s="91"/>
      <c r="G24" s="97"/>
      <c r="H24" s="91"/>
      <c r="I24" s="78" t="str">
        <f>IF(G24="","",IF(G24="g","per kg",IF(G24="ml","per L",IF(G24="oz","per lb",IF(G24="kg","per kg",IF(G24="L","per L",IF(G24="lb","per lb",IF(G24="fl oz","per fl oz","per unit"))))))))</f>
        <v/>
      </c>
      <c r="J24" s="71" t="str">
        <f t="shared" si="0"/>
        <v/>
      </c>
    </row>
    <row r="25" spans="1:11" x14ac:dyDescent="0.25">
      <c r="A25" s="5"/>
      <c r="B25" s="5"/>
      <c r="C25" s="7"/>
      <c r="E25" s="28"/>
      <c r="F25" s="29"/>
      <c r="G25" s="28"/>
      <c r="H25" s="29"/>
      <c r="I25" s="114"/>
      <c r="J25" s="100"/>
      <c r="K25" s="104"/>
    </row>
    <row r="26" spans="1:11" x14ac:dyDescent="0.25">
      <c r="A26" s="5"/>
      <c r="B26" s="5"/>
      <c r="C26" s="7"/>
      <c r="E26" s="21" t="s">
        <v>13</v>
      </c>
      <c r="F26" s="22"/>
      <c r="G26" s="22"/>
      <c r="H26" s="22"/>
      <c r="I26" s="22"/>
      <c r="J26" s="111">
        <f>SUM(J13:J24)</f>
        <v>4.625</v>
      </c>
      <c r="K26" s="104"/>
    </row>
    <row r="27" spans="1:11" ht="27.95" customHeight="1" x14ac:dyDescent="0.25">
      <c r="A27" s="5"/>
      <c r="B27" s="5"/>
      <c r="C27" s="7"/>
      <c r="E27" s="31" t="s">
        <v>14</v>
      </c>
      <c r="F27" s="27"/>
      <c r="G27" s="27"/>
      <c r="H27" s="27"/>
      <c r="I27" s="27"/>
      <c r="J27" s="112">
        <f>IFERROR(J26/F10,0)</f>
        <v>0.20205410821643291</v>
      </c>
    </row>
    <row r="28" spans="1:11" x14ac:dyDescent="0.25">
      <c r="A28" s="5"/>
      <c r="B28" s="5"/>
      <c r="C28" s="7"/>
      <c r="E28" s="32" t="s">
        <v>15</v>
      </c>
      <c r="F28" s="25"/>
      <c r="G28" s="25"/>
      <c r="H28" s="25"/>
      <c r="I28" s="25"/>
      <c r="J28" s="34">
        <f>F10-J26</f>
        <v>18.26490825688073</v>
      </c>
    </row>
    <row r="29" spans="1:11" x14ac:dyDescent="0.25">
      <c r="A29" s="5"/>
      <c r="B29" s="5"/>
      <c r="C29" s="7"/>
      <c r="E29" s="32" t="s">
        <v>16</v>
      </c>
      <c r="F29" s="25"/>
      <c r="G29" s="25"/>
      <c r="H29" s="25"/>
      <c r="I29" s="25"/>
      <c r="J29" s="35">
        <f>IFERROR(J28/F10,0)</f>
        <v>0.79794589178356712</v>
      </c>
    </row>
    <row r="30" spans="1:11" x14ac:dyDescent="0.25">
      <c r="A30" s="5"/>
      <c r="B30" s="5"/>
      <c r="C30" s="7"/>
      <c r="E30" s="23" t="s">
        <v>17</v>
      </c>
      <c r="F30" s="27"/>
      <c r="G30" s="27"/>
      <c r="H30" s="27"/>
      <c r="I30" s="27"/>
      <c r="J30" s="24" t="str">
        <f>IFERROR(INDEX(E13:E24,MATCH(MAX(J13:J24),J13:J24,0)),"-")</f>
        <v>Salmon fillet</v>
      </c>
    </row>
    <row r="31" spans="1:11" ht="27.95" customHeight="1" x14ac:dyDescent="0.25">
      <c r="A31" s="5"/>
      <c r="B31" s="5"/>
      <c r="C31" s="7"/>
      <c r="E31" s="66" t="s">
        <v>18</v>
      </c>
      <c r="F31" s="27"/>
      <c r="G31" s="27"/>
      <c r="H31" s="27"/>
      <c r="I31" s="27"/>
      <c r="J31" s="36">
        <f>Dashboard!F7</f>
        <v>0.3</v>
      </c>
    </row>
    <row r="32" spans="1:11" ht="20.25" customHeight="1" x14ac:dyDescent="0.25">
      <c r="A32" s="5"/>
      <c r="B32" s="5"/>
      <c r="C32" s="7"/>
      <c r="E32" s="6" t="s">
        <v>19</v>
      </c>
      <c r="F32" s="6"/>
      <c r="G32" s="6"/>
      <c r="H32" s="6"/>
      <c r="I32" s="6"/>
      <c r="J32" s="6"/>
    </row>
    <row r="33" spans="1:11" x14ac:dyDescent="0.25">
      <c r="A33" s="5"/>
      <c r="B33" s="5"/>
      <c r="C33" s="7"/>
      <c r="E33" s="56" t="s">
        <v>6</v>
      </c>
      <c r="F33" s="102" t="s">
        <v>71</v>
      </c>
      <c r="G33" s="102"/>
      <c r="H33" s="102"/>
      <c r="I33" s="58"/>
      <c r="J33" s="58"/>
    </row>
    <row r="34" spans="1:11" x14ac:dyDescent="0.25">
      <c r="A34" s="5"/>
      <c r="B34" s="5"/>
      <c r="C34" s="7"/>
      <c r="E34" s="56" t="s">
        <v>7</v>
      </c>
      <c r="F34" s="101">
        <v>16.5</v>
      </c>
      <c r="G34" s="57"/>
      <c r="H34" s="57"/>
      <c r="I34" s="57"/>
      <c r="J34" s="57"/>
    </row>
    <row r="35" spans="1:11" ht="15.75" thickBot="1" x14ac:dyDescent="0.3">
      <c r="A35" s="5"/>
      <c r="B35" s="5"/>
      <c r="C35" s="7"/>
      <c r="E35" s="64" t="s">
        <v>8</v>
      </c>
      <c r="F35" s="65">
        <v>0.09</v>
      </c>
      <c r="G35" s="57"/>
      <c r="H35" s="57"/>
      <c r="I35" s="57"/>
      <c r="J35" s="57"/>
    </row>
    <row r="36" spans="1:11" ht="15.75" thickTop="1" x14ac:dyDescent="0.25">
      <c r="A36" s="5"/>
      <c r="B36" s="5"/>
      <c r="C36" s="7"/>
      <c r="E36" s="63" t="s">
        <v>9</v>
      </c>
      <c r="F36" s="70">
        <f>IFERROR(F34/(1+F35),0)</f>
        <v>15.137614678899082</v>
      </c>
      <c r="G36" s="57"/>
      <c r="H36" s="57"/>
      <c r="I36" s="57"/>
      <c r="J36" s="57"/>
    </row>
    <row r="37" spans="1:11" x14ac:dyDescent="0.25">
      <c r="A37" s="5"/>
      <c r="B37" s="5"/>
      <c r="C37" s="7"/>
      <c r="E37" s="57"/>
      <c r="F37"/>
      <c r="G37"/>
      <c r="H37"/>
      <c r="I37"/>
      <c r="J37"/>
    </row>
    <row r="38" spans="1:11" x14ac:dyDescent="0.25">
      <c r="A38" s="5"/>
      <c r="B38" s="5"/>
      <c r="C38" s="7"/>
      <c r="E38" s="86" t="s">
        <v>10</v>
      </c>
      <c r="F38" s="75" t="s">
        <v>11</v>
      </c>
      <c r="G38" s="75" t="s">
        <v>12</v>
      </c>
      <c r="H38" s="75" t="str">
        <f>"Cost / Bulk ("&amp;$F$3&amp;")"</f>
        <v>Cost / Bulk (CHF)</v>
      </c>
      <c r="I38" s="75" t="s">
        <v>87</v>
      </c>
      <c r="J38" s="76" t="str">
        <f>"Cost / Portion ("&amp;$F$3&amp;")"</f>
        <v>Cost / Portion (CHF)</v>
      </c>
    </row>
    <row r="39" spans="1:11" x14ac:dyDescent="0.25">
      <c r="A39" s="5"/>
      <c r="B39" s="5"/>
      <c r="C39" s="7"/>
      <c r="E39" s="87" t="s">
        <v>72</v>
      </c>
      <c r="F39" s="88">
        <v>250</v>
      </c>
      <c r="G39" s="88" t="s">
        <v>61</v>
      </c>
      <c r="H39" s="93">
        <v>2</v>
      </c>
      <c r="I39" s="89" t="str">
        <f>IF(G39="","",IF(G39="g","per kg",IF(G39="ml","per L",IF(G39="oz","per lb",IF(G39="kg","per kg",IF(G39="L","per L",IF(G39="lb","per lb",IF(G39="fl oz","per fl oz","per unit"))))))))</f>
        <v>per kg</v>
      </c>
      <c r="J39" s="96">
        <f>IF(F39="","",IF(OR(G39="g",G39="ml"),H39/1000*F39,IF(G39="oz",H39/16*F39,H39*F39)))</f>
        <v>0.5</v>
      </c>
    </row>
    <row r="40" spans="1:11" x14ac:dyDescent="0.25">
      <c r="A40" s="5"/>
      <c r="B40" s="5"/>
      <c r="C40" s="7"/>
      <c r="E40" s="87" t="s">
        <v>73</v>
      </c>
      <c r="F40" s="88">
        <v>125</v>
      </c>
      <c r="G40" s="88" t="s">
        <v>61</v>
      </c>
      <c r="H40" s="93">
        <v>12</v>
      </c>
      <c r="I40" s="89" t="str">
        <f>IF(G40="","",IF(G40="g","per kg",IF(G40="ml","per L",IF(G40="oz","per lb",IF(G40="kg","per kg",IF(G40="L","per L",IF(G40="lb","per lb",IF(G40="fl oz","per fl oz","per unit"))))))))</f>
        <v>per kg</v>
      </c>
      <c r="J40" s="96">
        <f>IF(F40="","",IF(OR(G40="g",G40="ml"),H40/1000*F40,IF(G40="oz",H40/16*F40,H40*F40)))</f>
        <v>1.5</v>
      </c>
    </row>
    <row r="41" spans="1:11" x14ac:dyDescent="0.25">
      <c r="A41" s="5"/>
      <c r="B41" s="5"/>
      <c r="C41" s="7"/>
      <c r="E41" s="87" t="s">
        <v>74</v>
      </c>
      <c r="F41" s="88">
        <v>80</v>
      </c>
      <c r="G41" s="88" t="s">
        <v>66</v>
      </c>
      <c r="H41" s="93">
        <v>5</v>
      </c>
      <c r="I41" s="89" t="str">
        <f>IF(G41="","",IF(G41="g","per kg",IF(G41="ml","per L",IF(G41="oz","per lb",IF(G41="kg","per kg",IF(G41="L","per L",IF(G41="lb","per lb",IF(G41="fl oz","per fl oz","per unit"))))))))</f>
        <v>per L</v>
      </c>
      <c r="J41" s="96">
        <f>IF(F41="","",IF(OR(G41="g",G41="ml"),H41/1000*F41,IF(G41="oz",H41/16*F41,H41*F41)))</f>
        <v>0.4</v>
      </c>
    </row>
    <row r="42" spans="1:11" ht="12.75" customHeight="1" x14ac:dyDescent="0.25">
      <c r="A42" s="5"/>
      <c r="B42" s="5"/>
      <c r="C42" s="7"/>
      <c r="E42" s="87" t="s">
        <v>75</v>
      </c>
      <c r="F42" s="88">
        <v>5</v>
      </c>
      <c r="G42" s="88" t="s">
        <v>61</v>
      </c>
      <c r="H42" s="93">
        <v>30</v>
      </c>
      <c r="I42" s="89" t="str">
        <f>IF(G42="","",IF(G42="g","per kg",IF(G42="ml","per L",IF(G42="oz","per lb",IF(G42="kg","per kg",IF(G42="L","per L",IF(G42="lb","per lb",IF(G42="fl oz","per fl oz","per unit"))))))))</f>
        <v>per kg</v>
      </c>
      <c r="J42" s="96">
        <f>IF(F42="","",IF(OR(G42="g",G42="ml"),H42/1000*F42,IF(G42="oz",H42/16*F42,H42*F42)))</f>
        <v>0.15</v>
      </c>
    </row>
    <row r="43" spans="1:11" x14ac:dyDescent="0.25">
      <c r="A43" s="5"/>
      <c r="B43" s="5"/>
      <c r="C43" s="7"/>
      <c r="E43" s="87" t="s">
        <v>76</v>
      </c>
      <c r="F43" s="88">
        <v>15</v>
      </c>
      <c r="G43" s="88" t="s">
        <v>66</v>
      </c>
      <c r="H43" s="93">
        <v>10</v>
      </c>
      <c r="I43" s="89" t="str">
        <f>IF(G43="","",IF(G43="g","per kg",IF(G43="ml","per L",IF(G43="oz","per lb",IF(G43="kg","per kg",IF(G43="L","per L",IF(G43="lb","per lb",IF(G43="fl oz","per fl oz","per unit"))))))))</f>
        <v>per L</v>
      </c>
      <c r="J43" s="96">
        <f>IF(F43="","",IF(OR(G43="g",G43="ml"),H43/1000*F43,IF(G43="oz",H43/16*F43,H43*F43)))</f>
        <v>0.15</v>
      </c>
    </row>
    <row r="44" spans="1:11" x14ac:dyDescent="0.25">
      <c r="A44" s="5"/>
      <c r="B44" s="5"/>
      <c r="C44" s="7"/>
      <c r="E44" s="87" t="s">
        <v>77</v>
      </c>
      <c r="F44" s="88">
        <v>15</v>
      </c>
      <c r="G44" s="88" t="s">
        <v>61</v>
      </c>
      <c r="H44" s="93">
        <v>25</v>
      </c>
      <c r="I44" s="89" t="str">
        <f>IF(G44="","",IF(G44="g","per kg",IF(G44="ml","per L",IF(G44="oz","per lb",IF(G44="kg","per kg",IF(G44="L","per L",IF(G44="lb","per lb",IF(G44="fl oz","per fl oz","per unit"))))))))</f>
        <v>per kg</v>
      </c>
      <c r="J44" s="96">
        <f>IF(F44="","",IF(OR(G44="g",G44="ml"),H44/1000*F44,IF(G44="oz",H44/16*F44,H44*F44)))</f>
        <v>0.375</v>
      </c>
    </row>
    <row r="45" spans="1:11" x14ac:dyDescent="0.25">
      <c r="A45" s="5"/>
      <c r="B45" s="5"/>
      <c r="C45" s="7"/>
      <c r="E45" s="87" t="s">
        <v>82</v>
      </c>
      <c r="F45" s="88">
        <v>3</v>
      </c>
      <c r="G45" s="88" t="s">
        <v>61</v>
      </c>
      <c r="H45" s="93">
        <v>3</v>
      </c>
      <c r="I45" s="89" t="str">
        <f>IF(G45="","",IF(G45="g","per kg",IF(G45="ml","per L",IF(G45="oz","per lb",IF(G45="kg","per kg",IF(G45="L","per L",IF(G45="lb","per lb",IF(G45="fl oz","per fl oz","per unit"))))))))</f>
        <v>per kg</v>
      </c>
      <c r="J45" s="96">
        <f>IF(F45="","",IF(OR(G45="g",G45="ml"),H45/1000*F45,IF(G45="oz",H45/16*F45,H45*F45)))</f>
        <v>9.0000000000000011E-3</v>
      </c>
    </row>
    <row r="46" spans="1:11" x14ac:dyDescent="0.25">
      <c r="A46" s="5"/>
      <c r="B46" s="5"/>
      <c r="C46" s="7"/>
      <c r="E46" s="87"/>
      <c r="F46" s="88"/>
      <c r="G46" s="88"/>
      <c r="H46" s="93"/>
      <c r="I46" s="89" t="str">
        <f>IF(G46="","",IF(G46="g","per kg",IF(G46="ml","per L",IF(G46="oz","per lb",IF(G46="kg","per kg",IF(G46="L","per L",IF(G46="lb","per lb",IF(G46="fl oz","per fl oz","per unit"))))))))</f>
        <v/>
      </c>
      <c r="J46" s="96" t="str">
        <f>IF(F46="","",IF(OR(G46="g",G46="ml"),H46/1000*F46,IF(G46="oz",H46/16*F46,H46*F46)))</f>
        <v/>
      </c>
    </row>
    <row r="47" spans="1:11" x14ac:dyDescent="0.25">
      <c r="A47" s="5"/>
      <c r="B47" s="5"/>
      <c r="C47" s="7"/>
      <c r="E47" s="87"/>
      <c r="F47" s="88"/>
      <c r="G47" s="88"/>
      <c r="H47" s="93"/>
      <c r="I47" s="89" t="str">
        <f>IF(G47="","",IF(G47="g","per kg",IF(G47="ml","per L",IF(G47="oz","per lb",IF(G47="kg","per kg",IF(G47="L","per L",IF(G47="lb","per lb",IF(G47="fl oz","per fl oz","per unit"))))))))</f>
        <v/>
      </c>
      <c r="J47" s="96" t="str">
        <f>IF(F47="","",IF(OR(G47="g",G47="ml"),H47/1000*F47,IF(G47="oz",H47/16*F47,H47*F47)))</f>
        <v/>
      </c>
    </row>
    <row r="48" spans="1:11" ht="27.95" customHeight="1" x14ac:dyDescent="0.25">
      <c r="A48" s="5"/>
      <c r="B48" s="5"/>
      <c r="C48" s="7"/>
      <c r="E48" s="87"/>
      <c r="F48" s="88"/>
      <c r="G48" s="88"/>
      <c r="H48" s="93"/>
      <c r="I48" s="89" t="str">
        <f>IF(G48="","",IF(G48="g","per kg",IF(G48="ml","per L",IF(G48="oz","per lb",IF(G48="kg","per kg",IF(G48="L","per L",IF(G48="lb","per lb",IF(G48="fl oz","per fl oz","per unit"))))))))</f>
        <v/>
      </c>
      <c r="J48" s="96" t="str">
        <f>IF(F48="","",IF(OR(G48="g",G48="ml"),H48/1000*F48,IF(G48="oz",H48/16*F48,H48*F48)))</f>
        <v/>
      </c>
      <c r="K48" s="105"/>
    </row>
    <row r="49" spans="1:11" x14ac:dyDescent="0.25">
      <c r="A49" s="5"/>
      <c r="B49" s="5"/>
      <c r="C49" s="7"/>
      <c r="E49" s="87"/>
      <c r="F49" s="88"/>
      <c r="G49" s="88"/>
      <c r="H49" s="93"/>
      <c r="I49" s="89" t="str">
        <f>IF(G49="","",IF(G49="g","per kg",IF(G49="ml","per L",IF(G49="oz","per lb",IF(G49="kg","per kg",IF(G49="L","per L",IF(G49="lb","per lb",IF(G49="fl oz","per fl oz","per unit"))))))))</f>
        <v/>
      </c>
      <c r="J49" s="96" t="str">
        <f>IF(F49="","",IF(OR(G49="g",G49="ml"),H49/1000*F49,IF(G49="oz",H49/16*F49,H49*F49)))</f>
        <v/>
      </c>
    </row>
    <row r="50" spans="1:11" x14ac:dyDescent="0.25">
      <c r="A50" s="5"/>
      <c r="B50" s="5"/>
      <c r="C50" s="7"/>
      <c r="E50" s="90"/>
      <c r="F50" s="91"/>
      <c r="G50" s="91"/>
      <c r="H50" s="94"/>
      <c r="I50" s="92" t="str">
        <f>IF(G50="","",IF(G50="g","per kg",IF(G50="ml","per L",IF(G50="oz","per lb",IF(G50="kg","per kg",IF(G50="L","per L",IF(G50="lb","per lb",IF(G50="fl oz","per fl oz","per unit"))))))))</f>
        <v/>
      </c>
      <c r="J50" s="71" t="str">
        <f>IF(F50="","",IF(OR(G50="g",G50="ml"),H50/1000*F50,IF(G50="oz",H50/16*F50,H50*F50)))</f>
        <v/>
      </c>
      <c r="K50" s="104"/>
    </row>
    <row r="51" spans="1:11" x14ac:dyDescent="0.25">
      <c r="A51" s="5"/>
      <c r="B51" s="5"/>
      <c r="C51" s="7"/>
      <c r="E51" s="106"/>
      <c r="F51" s="107"/>
      <c r="G51" s="107"/>
      <c r="H51" s="107"/>
      <c r="I51" s="108"/>
      <c r="J51" s="109"/>
      <c r="K51" s="104"/>
    </row>
    <row r="52" spans="1:11" x14ac:dyDescent="0.25">
      <c r="A52" s="5"/>
      <c r="B52" s="5"/>
      <c r="C52" s="7"/>
      <c r="E52" s="21" t="s">
        <v>13</v>
      </c>
      <c r="F52" s="22"/>
      <c r="G52" s="22"/>
      <c r="H52" s="22"/>
      <c r="I52" s="22"/>
      <c r="J52" s="111">
        <f>SUM(J39:J50)</f>
        <v>3.0839999999999996</v>
      </c>
      <c r="K52" s="104"/>
    </row>
    <row r="53" spans="1:11" x14ac:dyDescent="0.25">
      <c r="A53" s="5"/>
      <c r="B53" s="5"/>
      <c r="C53" s="7"/>
      <c r="E53" s="31" t="s">
        <v>14</v>
      </c>
      <c r="F53" s="27"/>
      <c r="G53" s="27"/>
      <c r="H53" s="27"/>
      <c r="I53" s="110"/>
      <c r="J53" s="112">
        <f>IFERROR(J52/F36,0)</f>
        <v>0.20373090909090907</v>
      </c>
    </row>
    <row r="54" spans="1:11" x14ac:dyDescent="0.25">
      <c r="A54" s="5"/>
      <c r="B54" s="5"/>
      <c r="C54" s="7"/>
      <c r="E54" s="32" t="s">
        <v>15</v>
      </c>
      <c r="F54" s="25"/>
      <c r="G54" s="25"/>
      <c r="H54" s="25"/>
      <c r="I54" s="25"/>
      <c r="J54" s="34">
        <f>F36-J52</f>
        <v>12.053614678899082</v>
      </c>
    </row>
    <row r="55" spans="1:11" x14ac:dyDescent="0.25">
      <c r="A55" s="5"/>
      <c r="B55" s="5"/>
      <c r="C55" s="7"/>
      <c r="E55" s="32" t="s">
        <v>16</v>
      </c>
      <c r="F55" s="25"/>
      <c r="G55" s="25"/>
      <c r="H55" s="25"/>
      <c r="I55" s="25"/>
      <c r="J55" s="35">
        <f>IFERROR(J54/F36,0)</f>
        <v>0.79626909090909093</v>
      </c>
    </row>
    <row r="56" spans="1:11" x14ac:dyDescent="0.25">
      <c r="A56" s="5"/>
      <c r="B56" s="5"/>
      <c r="C56" s="7"/>
      <c r="E56" s="23" t="s">
        <v>17</v>
      </c>
      <c r="F56" s="27"/>
      <c r="G56" s="27"/>
      <c r="H56" s="27"/>
      <c r="I56" s="27"/>
      <c r="J56" s="24" t="str">
        <f>IFERROR(INDEX(E39:E50,MATCH(MAX(J39:J50),J39:J50,0)),"-")</f>
        <v>Mozzarella</v>
      </c>
    </row>
    <row r="57" spans="1:11" ht="27.95" customHeight="1" x14ac:dyDescent="0.25">
      <c r="A57" s="5"/>
      <c r="B57" s="5"/>
      <c r="C57" s="7"/>
      <c r="E57" s="66" t="s">
        <v>18</v>
      </c>
      <c r="F57" s="27"/>
      <c r="G57" s="27"/>
      <c r="H57" s="27"/>
      <c r="I57" s="27"/>
      <c r="J57" s="36">
        <f>Dashboard!F7</f>
        <v>0.3</v>
      </c>
    </row>
    <row r="58" spans="1:11" x14ac:dyDescent="0.25">
      <c r="A58" s="5"/>
      <c r="B58" s="5"/>
      <c r="C58" s="7"/>
      <c r="E58" s="6" t="s">
        <v>20</v>
      </c>
      <c r="F58" s="6"/>
      <c r="G58" s="6"/>
      <c r="H58" s="6"/>
      <c r="I58" s="6"/>
      <c r="J58" s="6"/>
    </row>
    <row r="59" spans="1:11" x14ac:dyDescent="0.25">
      <c r="A59" s="5"/>
      <c r="B59" s="5"/>
      <c r="C59" s="7"/>
      <c r="E59" s="56" t="s">
        <v>6</v>
      </c>
      <c r="F59" s="102" t="s">
        <v>21</v>
      </c>
      <c r="G59" s="102"/>
      <c r="H59" s="102"/>
      <c r="I59" s="58"/>
      <c r="J59" s="58"/>
    </row>
    <row r="60" spans="1:11" x14ac:dyDescent="0.25">
      <c r="A60" s="5"/>
      <c r="B60" s="5"/>
      <c r="C60" s="7"/>
      <c r="E60" s="56" t="s">
        <v>7</v>
      </c>
      <c r="F60" s="101">
        <v>0</v>
      </c>
      <c r="G60" s="57"/>
      <c r="H60" s="57"/>
      <c r="I60" s="57"/>
      <c r="J60" s="57"/>
    </row>
    <row r="61" spans="1:11" ht="15.75" thickBot="1" x14ac:dyDescent="0.3">
      <c r="A61" s="5"/>
      <c r="B61" s="5"/>
      <c r="C61" s="7"/>
      <c r="E61" s="64" t="s">
        <v>8</v>
      </c>
      <c r="F61" s="65">
        <v>0.09</v>
      </c>
      <c r="G61" s="57"/>
      <c r="H61" s="57"/>
      <c r="I61" s="57"/>
      <c r="J61" s="57"/>
    </row>
    <row r="62" spans="1:11" ht="15.75" thickTop="1" x14ac:dyDescent="0.25">
      <c r="A62" s="5"/>
      <c r="B62" s="5"/>
      <c r="C62" s="7"/>
      <c r="E62" s="63" t="s">
        <v>9</v>
      </c>
      <c r="F62" s="70">
        <f>IFERROR(F60/(1+F61),0)</f>
        <v>0</v>
      </c>
      <c r="G62" s="57"/>
      <c r="H62" s="57"/>
      <c r="I62" s="57"/>
      <c r="J62" s="57"/>
    </row>
    <row r="63" spans="1:11" x14ac:dyDescent="0.25">
      <c r="A63" s="5"/>
      <c r="B63" s="5"/>
      <c r="C63" s="7"/>
      <c r="E63" s="57"/>
      <c r="F63" s="57"/>
      <c r="G63" s="57"/>
      <c r="H63" s="57"/>
      <c r="I63" s="57"/>
      <c r="J63" s="57"/>
    </row>
    <row r="64" spans="1:11" ht="12.75" customHeight="1" x14ac:dyDescent="0.25">
      <c r="A64" s="5"/>
      <c r="B64" s="5"/>
      <c r="C64" s="7"/>
      <c r="E64" s="86" t="s">
        <v>10</v>
      </c>
      <c r="F64" s="75" t="s">
        <v>11</v>
      </c>
      <c r="G64" s="75" t="s">
        <v>12</v>
      </c>
      <c r="H64" s="75" t="str">
        <f>"Cost / Bulk ("&amp;$F$3&amp;")"</f>
        <v>Cost / Bulk (CHF)</v>
      </c>
      <c r="I64" s="75" t="s">
        <v>87</v>
      </c>
      <c r="J64" s="76" t="str">
        <f>"Cost / Portion ("&amp;$F$3&amp;")"</f>
        <v>Cost / Portion (CHF)</v>
      </c>
    </row>
    <row r="65" spans="1:11" x14ac:dyDescent="0.25">
      <c r="A65" s="5"/>
      <c r="B65" s="5"/>
      <c r="C65" s="7"/>
      <c r="E65" s="87"/>
      <c r="F65" s="88"/>
      <c r="G65" s="88"/>
      <c r="H65" s="93"/>
      <c r="I65" s="89" t="str">
        <f>IF(G65="","",IF(G65="g","per kg",IF(G65="ml","per L",IF(G65="oz","per lb",IF(G65="kg","per kg",IF(G65="L","per L",IF(G65="lb","per lb",IF(G65="fl oz","per fl oz","per unit"))))))))</f>
        <v/>
      </c>
      <c r="J65" s="96" t="str">
        <f>IF(F65="","",IF(OR(G65="g",G65="ml"),H65/1000*F65,IF(G65="oz",H65/16*F65,H65*F65)))</f>
        <v/>
      </c>
    </row>
    <row r="66" spans="1:11" x14ac:dyDescent="0.25">
      <c r="A66" s="5"/>
      <c r="B66" s="5"/>
      <c r="C66" s="7"/>
      <c r="E66" s="87"/>
      <c r="F66" s="88"/>
      <c r="G66" s="88"/>
      <c r="H66" s="93"/>
      <c r="I66" s="89" t="str">
        <f>IF(G66="","",IF(G66="g","per kg",IF(G66="ml","per L",IF(G66="oz","per lb",IF(G66="kg","per kg",IF(G66="L","per L",IF(G66="lb","per lb",IF(G66="fl oz","per fl oz","per unit"))))))))</f>
        <v/>
      </c>
      <c r="J66" s="96" t="str">
        <f>IF(F66="","",IF(OR(G66="g",G66="ml"),H66/1000*F66,IF(G66="oz",H66/16*F66,H66*F66)))</f>
        <v/>
      </c>
    </row>
    <row r="67" spans="1:11" x14ac:dyDescent="0.25">
      <c r="A67" s="5"/>
      <c r="B67" s="5"/>
      <c r="C67" s="7"/>
      <c r="E67" s="87"/>
      <c r="F67" s="88"/>
      <c r="G67" s="88"/>
      <c r="H67" s="93"/>
      <c r="I67" s="89" t="str">
        <f>IF(G67="","",IF(G67="g","per kg",IF(G67="ml","per L",IF(G67="oz","per lb",IF(G67="kg","per kg",IF(G67="L","per L",IF(G67="lb","per lb",IF(G67="fl oz","per fl oz","per unit"))))))))</f>
        <v/>
      </c>
      <c r="J67" s="96" t="str">
        <f>IF(F67="","",IF(OR(G67="g",G67="ml"),H67/1000*F67,IF(G67="oz",H67/16*F67,H67*F67)))</f>
        <v/>
      </c>
    </row>
    <row r="68" spans="1:11" x14ac:dyDescent="0.25">
      <c r="A68" s="5"/>
      <c r="B68" s="5"/>
      <c r="C68" s="7"/>
      <c r="E68" s="87"/>
      <c r="F68" s="88"/>
      <c r="G68" s="88"/>
      <c r="H68" s="93"/>
      <c r="I68" s="89" t="str">
        <f>IF(G68="","",IF(G68="g","per kg",IF(G68="ml","per L",IF(G68="oz","per lb",IF(G68="kg","per kg",IF(G68="L","per L",IF(G68="lb","per lb",IF(G68="fl oz","per fl oz","per unit"))))))))</f>
        <v/>
      </c>
      <c r="J68" s="96" t="str">
        <f>IF(F68="","",IF(OR(G68="g",G68="ml"),H68/1000*F68,IF(G68="oz",H68/16*F68,H68*F68)))</f>
        <v/>
      </c>
    </row>
    <row r="69" spans="1:11" x14ac:dyDescent="0.25">
      <c r="A69" s="5"/>
      <c r="B69" s="5"/>
      <c r="C69" s="7"/>
      <c r="E69" s="87"/>
      <c r="F69" s="88"/>
      <c r="G69" s="88"/>
      <c r="H69" s="93"/>
      <c r="I69" s="89" t="str">
        <f>IF(G69="","",IF(G69="g","per kg",IF(G69="ml","per L",IF(G69="oz","per lb",IF(G69="kg","per kg",IF(G69="L","per L",IF(G69="lb","per lb",IF(G69="fl oz","per fl oz","per unit"))))))))</f>
        <v/>
      </c>
      <c r="J69" s="96" t="str">
        <f>IF(F69="","",IF(OR(G69="g",G69="ml"),H69/1000*F69,IF(G69="oz",H69/16*F69,H69*F69)))</f>
        <v/>
      </c>
    </row>
    <row r="70" spans="1:11" ht="27.95" customHeight="1" x14ac:dyDescent="0.25">
      <c r="A70" s="5"/>
      <c r="B70" s="5"/>
      <c r="C70" s="7"/>
      <c r="E70" s="87"/>
      <c r="F70" s="88"/>
      <c r="G70" s="88"/>
      <c r="H70" s="93"/>
      <c r="I70" s="89" t="str">
        <f>IF(G70="","",IF(G70="g","per kg",IF(G70="ml","per L",IF(G70="oz","per lb",IF(G70="kg","per kg",IF(G70="L","per L",IF(G70="lb","per lb",IF(G70="fl oz","per fl oz","per unit"))))))))</f>
        <v/>
      </c>
      <c r="J70" s="96" t="str">
        <f>IF(F70="","",IF(OR(G70="g",G70="ml"),H70/1000*F70,IF(G70="oz",H70/16*F70,H70*F70)))</f>
        <v/>
      </c>
    </row>
    <row r="71" spans="1:11" x14ac:dyDescent="0.25">
      <c r="A71" s="5"/>
      <c r="B71" s="5"/>
      <c r="C71" s="7"/>
      <c r="E71" s="87"/>
      <c r="F71" s="88"/>
      <c r="G71" s="88"/>
      <c r="H71" s="93"/>
      <c r="I71" s="89" t="str">
        <f>IF(G71="","",IF(G71="g","per kg",IF(G71="ml","per L",IF(G71="oz","per lb",IF(G71="kg","per kg",IF(G71="L","per L",IF(G71="lb","per lb",IF(G71="fl oz","per fl oz","per unit"))))))))</f>
        <v/>
      </c>
      <c r="J71" s="96" t="str">
        <f>IF(F71="","",IF(OR(G71="g",G71="ml"),H71/1000*F71,IF(G71="oz",H71/16*F71,H71*F71)))</f>
        <v/>
      </c>
    </row>
    <row r="72" spans="1:11" x14ac:dyDescent="0.25">
      <c r="A72" s="5"/>
      <c r="B72" s="5"/>
      <c r="C72" s="7"/>
      <c r="E72" s="87"/>
      <c r="F72" s="88"/>
      <c r="G72" s="88"/>
      <c r="H72" s="93"/>
      <c r="I72" s="89" t="str">
        <f>IF(G72="","",IF(G72="g","per kg",IF(G72="ml","per L",IF(G72="oz","per lb",IF(G72="kg","per kg",IF(G72="L","per L",IF(G72="lb","per lb",IF(G72="fl oz","per fl oz","per unit"))))))))</f>
        <v/>
      </c>
      <c r="J72" s="96" t="str">
        <f>IF(F72="","",IF(OR(G72="g",G72="ml"),H72/1000*F72,IF(G72="oz",H72/16*F72,H72*F72)))</f>
        <v/>
      </c>
    </row>
    <row r="73" spans="1:11" x14ac:dyDescent="0.25">
      <c r="A73" s="5"/>
      <c r="B73" s="5"/>
      <c r="C73" s="7"/>
      <c r="E73" s="87"/>
      <c r="F73" s="88"/>
      <c r="G73" s="88"/>
      <c r="H73" s="93"/>
      <c r="I73" s="89" t="str">
        <f>IF(G73="","",IF(G73="g","per kg",IF(G73="ml","per L",IF(G73="oz","per lb",IF(G73="kg","per kg",IF(G73="L","per L",IF(G73="lb","per lb",IF(G73="fl oz","per fl oz","per unit"))))))))</f>
        <v/>
      </c>
      <c r="J73" s="96" t="str">
        <f>IF(F73="","",IF(OR(G73="g",G73="ml"),H73/1000*F73,IF(G73="oz",H73/16*F73,H73*F73)))</f>
        <v/>
      </c>
    </row>
    <row r="74" spans="1:11" x14ac:dyDescent="0.25">
      <c r="A74" s="5"/>
      <c r="B74" s="5"/>
      <c r="C74" s="7"/>
      <c r="E74" s="87"/>
      <c r="F74" s="88"/>
      <c r="G74" s="88"/>
      <c r="H74" s="93"/>
      <c r="I74" s="89" t="str">
        <f>IF(G74="","",IF(G74="g","per kg",IF(G74="ml","per L",IF(G74="oz","per lb",IF(G74="kg","per kg",IF(G74="L","per L",IF(G74="lb","per lb",IF(G74="fl oz","per fl oz","per unit"))))))))</f>
        <v/>
      </c>
      <c r="J74" s="96" t="str">
        <f>IF(F74="","",IF(OR(G74="g",G74="ml"),H74/1000*F74,IF(G74="oz",H74/16*F74,H74*F74)))</f>
        <v/>
      </c>
    </row>
    <row r="75" spans="1:11" x14ac:dyDescent="0.25">
      <c r="A75" s="5"/>
      <c r="B75" s="5"/>
      <c r="C75" s="7"/>
      <c r="E75" s="87"/>
      <c r="F75" s="88"/>
      <c r="G75" s="88"/>
      <c r="H75" s="93"/>
      <c r="I75" s="89" t="str">
        <f>IF(G75="","",IF(G75="g","per kg",IF(G75="ml","per L",IF(G75="oz","per lb",IF(G75="kg","per kg",IF(G75="L","per L",IF(G75="lb","per lb",IF(G75="fl oz","per fl oz","per unit"))))))))</f>
        <v/>
      </c>
      <c r="J75" s="96" t="str">
        <f>IF(F75="","",IF(OR(G75="g",G75="ml"),H75/1000*F75,IF(G75="oz",H75/16*F75,H75*F75)))</f>
        <v/>
      </c>
    </row>
    <row r="76" spans="1:11" x14ac:dyDescent="0.25">
      <c r="A76" s="5"/>
      <c r="B76" s="5"/>
      <c r="C76" s="7"/>
      <c r="E76" s="90"/>
      <c r="F76" s="91"/>
      <c r="G76" s="91"/>
      <c r="H76" s="94"/>
      <c r="I76" s="92" t="str">
        <f>IF(G76="","",IF(G76="g","per kg",IF(G76="ml","per L",IF(G76="oz","per lb",IF(G76="kg","per kg",IF(G76="L","per L",IF(G76="lb","per lb",IF(G76="fl oz","per fl oz","per unit"))))))))</f>
        <v/>
      </c>
      <c r="J76" s="71" t="str">
        <f>IF(F76="","",IF(OR(G76="g",G76="ml"),H76/1000*F76,IF(G76="oz",H76/16*F76,H76*F76)))</f>
        <v/>
      </c>
    </row>
    <row r="77" spans="1:11" x14ac:dyDescent="0.25">
      <c r="A77" s="5"/>
      <c r="B77" s="5"/>
      <c r="C77" s="7"/>
      <c r="E77" s="28"/>
      <c r="F77" s="29"/>
      <c r="G77" s="29"/>
      <c r="H77" s="98"/>
      <c r="I77" s="99"/>
      <c r="J77" s="100"/>
    </row>
    <row r="78" spans="1:11" x14ac:dyDescent="0.25">
      <c r="A78" s="5"/>
      <c r="B78" s="5"/>
      <c r="C78" s="7"/>
      <c r="E78" s="21" t="s">
        <v>13</v>
      </c>
      <c r="F78" s="22"/>
      <c r="G78" s="22"/>
      <c r="H78" s="22"/>
      <c r="I78" s="115"/>
      <c r="J78" s="111">
        <f>SUM(J65:J76)</f>
        <v>0</v>
      </c>
      <c r="K78" s="104"/>
    </row>
    <row r="79" spans="1:11" x14ac:dyDescent="0.25">
      <c r="A79" s="5"/>
      <c r="B79" s="5"/>
      <c r="C79" s="7"/>
      <c r="E79" s="31" t="s">
        <v>14</v>
      </c>
      <c r="F79" s="27"/>
      <c r="G79" s="27"/>
      <c r="H79" s="27"/>
      <c r="I79" s="27"/>
      <c r="J79" s="112">
        <f>IFERROR(J78/F62,0)</f>
        <v>0</v>
      </c>
    </row>
    <row r="80" spans="1:11" x14ac:dyDescent="0.25">
      <c r="A80" s="5"/>
      <c r="B80" s="5"/>
      <c r="C80" s="7"/>
      <c r="E80" s="32" t="s">
        <v>15</v>
      </c>
      <c r="F80" s="25"/>
      <c r="G80" s="25"/>
      <c r="H80" s="25"/>
      <c r="I80" s="25"/>
      <c r="J80" s="34">
        <f>F62-J78</f>
        <v>0</v>
      </c>
    </row>
    <row r="81" spans="1:10" x14ac:dyDescent="0.25">
      <c r="A81" s="5"/>
      <c r="B81" s="5"/>
      <c r="C81" s="7"/>
      <c r="E81" s="32" t="s">
        <v>16</v>
      </c>
      <c r="F81" s="25"/>
      <c r="G81" s="25"/>
      <c r="H81" s="25"/>
      <c r="I81" s="25"/>
      <c r="J81" s="35">
        <f>IFERROR(J80/F62,0)</f>
        <v>0</v>
      </c>
    </row>
    <row r="82" spans="1:10" x14ac:dyDescent="0.25">
      <c r="A82" s="5"/>
      <c r="B82" s="5"/>
      <c r="C82" s="7"/>
      <c r="E82" s="23" t="s">
        <v>17</v>
      </c>
      <c r="F82" s="27"/>
      <c r="G82" s="27"/>
      <c r="H82" s="27"/>
      <c r="I82" s="27"/>
      <c r="J82" s="24" t="str">
        <f>IFERROR(INDEX(E65:E76,MATCH(MAX(J65:J76),J65:J76,0)),"-")</f>
        <v>-</v>
      </c>
    </row>
    <row r="83" spans="1:10" ht="27.95" customHeight="1" x14ac:dyDescent="0.25">
      <c r="A83" s="5"/>
      <c r="B83" s="5"/>
      <c r="C83" s="7"/>
      <c r="E83" s="66" t="s">
        <v>18</v>
      </c>
      <c r="F83" s="27"/>
      <c r="G83" s="27"/>
      <c r="H83" s="27"/>
      <c r="I83" s="27"/>
      <c r="J83" s="36">
        <f>Dashboard!F7</f>
        <v>0.3</v>
      </c>
    </row>
    <row r="84" spans="1:10" x14ac:dyDescent="0.25">
      <c r="A84" s="5"/>
      <c r="B84" s="5"/>
      <c r="C84" s="7"/>
      <c r="E84" s="6" t="s">
        <v>22</v>
      </c>
      <c r="F84" s="6"/>
      <c r="G84" s="6"/>
      <c r="H84" s="6"/>
      <c r="I84" s="6"/>
      <c r="J84" s="6"/>
    </row>
    <row r="85" spans="1:10" x14ac:dyDescent="0.25">
      <c r="A85" s="5"/>
      <c r="B85" s="5"/>
      <c r="C85" s="7"/>
      <c r="E85" s="56" t="s">
        <v>6</v>
      </c>
      <c r="F85" s="102" t="s">
        <v>23</v>
      </c>
      <c r="G85" s="102"/>
      <c r="H85" s="102"/>
      <c r="I85" s="58"/>
      <c r="J85" s="58"/>
    </row>
    <row r="86" spans="1:10" ht="12.75" customHeight="1" x14ac:dyDescent="0.25">
      <c r="A86" s="5"/>
      <c r="B86" s="5"/>
      <c r="C86" s="7"/>
      <c r="E86" s="56" t="s">
        <v>7</v>
      </c>
      <c r="F86" s="101">
        <v>0</v>
      </c>
      <c r="G86" s="57"/>
      <c r="H86" s="57"/>
      <c r="I86" s="57"/>
      <c r="J86" s="57"/>
    </row>
    <row r="87" spans="1:10" ht="15.75" thickBot="1" x14ac:dyDescent="0.3">
      <c r="A87" s="5"/>
      <c r="B87" s="5"/>
      <c r="C87" s="7"/>
      <c r="E87" s="64" t="s">
        <v>8</v>
      </c>
      <c r="F87" s="65">
        <v>0.09</v>
      </c>
      <c r="G87" s="57"/>
      <c r="H87" s="57"/>
      <c r="I87" s="57"/>
      <c r="J87" s="57"/>
    </row>
    <row r="88" spans="1:10" ht="15.75" thickTop="1" x14ac:dyDescent="0.25">
      <c r="A88" s="5"/>
      <c r="B88" s="5"/>
      <c r="C88" s="7"/>
      <c r="E88" s="63" t="s">
        <v>9</v>
      </c>
      <c r="F88" s="70">
        <f>IFERROR(F86/(1+F87),0)</f>
        <v>0</v>
      </c>
      <c r="G88" s="57"/>
      <c r="H88" s="57"/>
      <c r="I88" s="57"/>
      <c r="J88" s="57"/>
    </row>
    <row r="89" spans="1:10" x14ac:dyDescent="0.25">
      <c r="A89" s="5"/>
      <c r="B89" s="5"/>
      <c r="C89" s="7"/>
      <c r="E89" s="57"/>
      <c r="F89" s="57"/>
      <c r="G89" s="57"/>
      <c r="H89" s="57"/>
      <c r="I89" s="57"/>
      <c r="J89" s="57"/>
    </row>
    <row r="90" spans="1:10" x14ac:dyDescent="0.25">
      <c r="A90" s="5"/>
      <c r="B90" s="5"/>
      <c r="C90" s="7"/>
      <c r="E90" s="86" t="s">
        <v>10</v>
      </c>
      <c r="F90" s="75" t="s">
        <v>11</v>
      </c>
      <c r="G90" s="75" t="s">
        <v>12</v>
      </c>
      <c r="H90" s="75" t="str">
        <f>"Cost / Bulk ("&amp;$F$3&amp;")"</f>
        <v>Cost / Bulk (CHF)</v>
      </c>
      <c r="I90" s="75" t="s">
        <v>87</v>
      </c>
      <c r="J90" s="76" t="str">
        <f>"Cost / Portion ("&amp;$F$3&amp;")"</f>
        <v>Cost / Portion (CHF)</v>
      </c>
    </row>
    <row r="91" spans="1:10" x14ac:dyDescent="0.25">
      <c r="A91" s="5"/>
      <c r="B91" s="5"/>
      <c r="C91" s="7"/>
      <c r="E91" s="87"/>
      <c r="F91" s="88"/>
      <c r="G91" s="88"/>
      <c r="H91" s="93"/>
      <c r="I91" s="89" t="str">
        <f>IF(G91="","",IF(G91="g","per kg",IF(G91="ml","per L",IF(G91="oz","per lb",IF(G91="kg","per kg",IF(G91="L","per L",IF(G91="lb","per lb",IF(G91="fl oz","per fl oz","per unit"))))))))</f>
        <v/>
      </c>
      <c r="J91" s="96" t="str">
        <f>IF(F91="","",IF(OR(G91="g",G91="ml"),H91/1000*F91,IF(G91="oz",H91/16*F91,H91*F91)))</f>
        <v/>
      </c>
    </row>
    <row r="92" spans="1:10" ht="27.95" customHeight="1" x14ac:dyDescent="0.25">
      <c r="A92" s="5"/>
      <c r="B92" s="5"/>
      <c r="C92" s="7"/>
      <c r="E92" s="87"/>
      <c r="F92" s="88"/>
      <c r="G92" s="88"/>
      <c r="H92" s="93"/>
      <c r="I92" s="89" t="str">
        <f>IF(G92="","",IF(G92="g","per kg",IF(G92="ml","per L",IF(G92="oz","per lb",IF(G92="kg","per kg",IF(G92="L","per L",IF(G92="lb","per lb",IF(G92="fl oz","per fl oz","per unit"))))))))</f>
        <v/>
      </c>
      <c r="J92" s="96" t="str">
        <f>IF(F92="","",IF(OR(G92="g",G92="ml"),H92/1000*F92,IF(G92="oz",H92/16*F92,H92*F92)))</f>
        <v/>
      </c>
    </row>
    <row r="93" spans="1:10" x14ac:dyDescent="0.25">
      <c r="A93" s="5"/>
      <c r="B93" s="5"/>
      <c r="C93" s="7"/>
      <c r="E93" s="87"/>
      <c r="F93" s="88"/>
      <c r="G93" s="88"/>
      <c r="H93" s="93"/>
      <c r="I93" s="89" t="str">
        <f>IF(G93="","",IF(G93="g","per kg",IF(G93="ml","per L",IF(G93="oz","per lb",IF(G93="kg","per kg",IF(G93="L","per L",IF(G93="lb","per lb",IF(G93="fl oz","per fl oz","per unit"))))))))</f>
        <v/>
      </c>
      <c r="J93" s="96" t="str">
        <f>IF(F93="","",IF(OR(G93="g",G93="ml"),H93/1000*F93,IF(G93="oz",H93/16*F93,H93*F93)))</f>
        <v/>
      </c>
    </row>
    <row r="94" spans="1:10" x14ac:dyDescent="0.25">
      <c r="A94" s="5"/>
      <c r="B94" s="5"/>
      <c r="C94" s="7"/>
      <c r="E94" s="87"/>
      <c r="F94" s="88"/>
      <c r="G94" s="88"/>
      <c r="H94" s="93"/>
      <c r="I94" s="89" t="str">
        <f>IF(G94="","",IF(G94="g","per kg",IF(G94="ml","per L",IF(G94="oz","per lb",IF(G94="kg","per kg",IF(G94="L","per L",IF(G94="lb","per lb",IF(G94="fl oz","per fl oz","per unit"))))))))</f>
        <v/>
      </c>
      <c r="J94" s="96" t="str">
        <f>IF(F94="","",IF(OR(G94="g",G94="ml"),H94/1000*F94,IF(G94="oz",H94/16*F94,H94*F94)))</f>
        <v/>
      </c>
    </row>
    <row r="95" spans="1:10" x14ac:dyDescent="0.25">
      <c r="A95" s="5"/>
      <c r="B95" s="5"/>
      <c r="C95" s="7"/>
      <c r="E95" s="87"/>
      <c r="F95" s="88"/>
      <c r="G95" s="88"/>
      <c r="H95" s="93"/>
      <c r="I95" s="89" t="str">
        <f>IF(G95="","",IF(G95="g","per kg",IF(G95="ml","per L",IF(G95="oz","per lb",IF(G95="kg","per kg",IF(G95="L","per L",IF(G95="lb","per lb",IF(G95="fl oz","per fl oz","per unit"))))))))</f>
        <v/>
      </c>
      <c r="J95" s="96" t="str">
        <f>IF(F95="","",IF(OR(G95="g",G95="ml"),H95/1000*F95,IF(G95="oz",H95/16*F95,H95*F95)))</f>
        <v/>
      </c>
    </row>
    <row r="96" spans="1:10" x14ac:dyDescent="0.25">
      <c r="A96" s="5"/>
      <c r="B96" s="5"/>
      <c r="C96" s="7"/>
      <c r="E96" s="87"/>
      <c r="F96" s="88"/>
      <c r="G96" s="88"/>
      <c r="H96" s="93"/>
      <c r="I96" s="89" t="str">
        <f>IF(G96="","",IF(G96="g","per kg",IF(G96="ml","per L",IF(G96="oz","per lb",IF(G96="kg","per kg",IF(G96="L","per L",IF(G96="lb","per lb",IF(G96="fl oz","per fl oz","per unit"))))))))</f>
        <v/>
      </c>
      <c r="J96" s="96" t="str">
        <f>IF(F96="","",IF(OR(G96="g",G96="ml"),H96/1000*F96,IF(G96="oz",H96/16*F96,H96*F96)))</f>
        <v/>
      </c>
    </row>
    <row r="97" spans="1:11" x14ac:dyDescent="0.25">
      <c r="A97" s="5"/>
      <c r="B97" s="5"/>
      <c r="C97" s="7"/>
      <c r="E97" s="87"/>
      <c r="F97" s="88"/>
      <c r="G97" s="88"/>
      <c r="H97" s="93"/>
      <c r="I97" s="89" t="str">
        <f>IF(G97="","",IF(G97="g","per kg",IF(G97="ml","per L",IF(G97="oz","per lb",IF(G97="kg","per kg",IF(G97="L","per L",IF(G97="lb","per lb",IF(G97="fl oz","per fl oz","per unit"))))))))</f>
        <v/>
      </c>
      <c r="J97" s="96" t="str">
        <f>IF(F97="","",IF(OR(G97="g",G97="ml"),H97/1000*F97,IF(G97="oz",H97/16*F97,H97*F97)))</f>
        <v/>
      </c>
    </row>
    <row r="98" spans="1:11" x14ac:dyDescent="0.25">
      <c r="A98" s="5"/>
      <c r="B98" s="5"/>
      <c r="C98" s="7"/>
      <c r="E98" s="87"/>
      <c r="F98" s="88"/>
      <c r="G98" s="88"/>
      <c r="H98" s="93"/>
      <c r="I98" s="89" t="str">
        <f>IF(G98="","",IF(G98="g","per kg",IF(G98="ml","per L",IF(G98="oz","per lb",IF(G98="kg","per kg",IF(G98="L","per L",IF(G98="lb","per lb",IF(G98="fl oz","per fl oz","per unit"))))))))</f>
        <v/>
      </c>
      <c r="J98" s="96" t="str">
        <f>IF(F98="","",IF(OR(G98="g",G98="ml"),H98/1000*F98,IF(G98="oz",H98/16*F98,H98*F98)))</f>
        <v/>
      </c>
    </row>
    <row r="99" spans="1:11" x14ac:dyDescent="0.25">
      <c r="A99" s="5"/>
      <c r="B99" s="5"/>
      <c r="C99" s="7"/>
      <c r="E99" s="87"/>
      <c r="F99" s="88"/>
      <c r="G99" s="88"/>
      <c r="H99" s="93"/>
      <c r="I99" s="89" t="str">
        <f>IF(G99="","",IF(G99="g","per kg",IF(G99="ml","per L",IF(G99="oz","per lb",IF(G99="kg","per kg",IF(G99="L","per L",IF(G99="lb","per lb",IF(G99="fl oz","per fl oz","per unit"))))))))</f>
        <v/>
      </c>
      <c r="J99" s="96" t="str">
        <f>IF(F99="","",IF(OR(G99="g",G99="ml"),H99/1000*F99,IF(G99="oz",H99/16*F99,H99*F99)))</f>
        <v/>
      </c>
    </row>
    <row r="100" spans="1:11" x14ac:dyDescent="0.25">
      <c r="A100" s="5"/>
      <c r="B100" s="5"/>
      <c r="C100" s="7"/>
      <c r="E100" s="87"/>
      <c r="F100" s="88"/>
      <c r="G100" s="88"/>
      <c r="H100" s="93"/>
      <c r="I100" s="89" t="str">
        <f>IF(G100="","",IF(G100="g","per kg",IF(G100="ml","per L",IF(G100="oz","per lb",IF(G100="kg","per kg",IF(G100="L","per L",IF(G100="lb","per lb",IF(G100="fl oz","per fl oz","per unit"))))))))</f>
        <v/>
      </c>
      <c r="J100" s="96" t="str">
        <f>IF(F100="","",IF(OR(G100="g",G100="ml"),H100/1000*F100,IF(G100="oz",H100/16*F100,H100*F100)))</f>
        <v/>
      </c>
    </row>
    <row r="101" spans="1:11" x14ac:dyDescent="0.25">
      <c r="A101" s="5"/>
      <c r="B101" s="5"/>
      <c r="C101" s="7"/>
      <c r="E101" s="87"/>
      <c r="F101" s="88"/>
      <c r="G101" s="88"/>
      <c r="H101" s="93"/>
      <c r="I101" s="89" t="str">
        <f>IF(G101="","",IF(G101="g","per kg",IF(G101="ml","per L",IF(G101="oz","per lb",IF(G101="kg","per kg",IF(G101="L","per L",IF(G101="lb","per lb",IF(G101="fl oz","per fl oz","per unit"))))))))</f>
        <v/>
      </c>
      <c r="J101" s="96" t="str">
        <f>IF(F101="","",IF(OR(G101="g",G101="ml"),H101/1000*F101,IF(G101="oz",H101/16*F101,H101*F101)))</f>
        <v/>
      </c>
    </row>
    <row r="102" spans="1:11" x14ac:dyDescent="0.25">
      <c r="A102" s="5"/>
      <c r="B102" s="5"/>
      <c r="C102" s="7"/>
      <c r="E102" s="90"/>
      <c r="F102" s="91"/>
      <c r="G102" s="91"/>
      <c r="H102" s="94"/>
      <c r="I102" s="92" t="str">
        <f>IF(G102="","",IF(G102="g","per kg",IF(G102="ml","per L",IF(G102="oz","per lb",IF(G102="kg","per kg",IF(G102="L","per L",IF(G102="lb","per lb",IF(G102="fl oz","per fl oz","per unit"))))))))</f>
        <v/>
      </c>
      <c r="J102" s="71" t="str">
        <f>IF(F102="","",IF(OR(G102="g",G102="ml"),H102/1000*F102,IF(G102="oz",H102/16*F102,H102*F102)))</f>
        <v/>
      </c>
    </row>
    <row r="103" spans="1:11" x14ac:dyDescent="0.25">
      <c r="A103" s="5"/>
      <c r="B103" s="5"/>
      <c r="C103" s="7"/>
      <c r="E103" s="28"/>
      <c r="F103" s="29"/>
      <c r="G103" s="29"/>
      <c r="H103" s="98"/>
      <c r="I103" s="99"/>
      <c r="J103" s="116"/>
      <c r="K103" s="104"/>
    </row>
    <row r="104" spans="1:11" x14ac:dyDescent="0.25">
      <c r="A104" s="5"/>
      <c r="B104" s="5"/>
      <c r="C104" s="7"/>
      <c r="E104" s="21" t="s">
        <v>13</v>
      </c>
      <c r="F104" s="22"/>
      <c r="G104" s="22"/>
      <c r="H104" s="22"/>
      <c r="I104" s="22"/>
      <c r="J104" s="111">
        <f>SUM(J91:J102)</f>
        <v>0</v>
      </c>
      <c r="K104" s="104"/>
    </row>
    <row r="105" spans="1:11" x14ac:dyDescent="0.25">
      <c r="A105" s="5"/>
      <c r="B105" s="5"/>
      <c r="C105" s="7"/>
      <c r="E105" s="31" t="s">
        <v>14</v>
      </c>
      <c r="F105" s="27"/>
      <c r="G105" s="27"/>
      <c r="H105" s="27"/>
      <c r="I105" s="27"/>
      <c r="J105" s="112">
        <f>IFERROR(J104/F88,0)</f>
        <v>0</v>
      </c>
    </row>
    <row r="106" spans="1:11" x14ac:dyDescent="0.25">
      <c r="A106" s="5"/>
      <c r="B106" s="5"/>
      <c r="C106" s="7"/>
      <c r="E106" s="32" t="s">
        <v>15</v>
      </c>
      <c r="F106" s="25"/>
      <c r="G106" s="25"/>
      <c r="H106" s="25"/>
      <c r="I106" s="25"/>
      <c r="J106" s="34">
        <f>F88-J104</f>
        <v>0</v>
      </c>
    </row>
    <row r="107" spans="1:11" x14ac:dyDescent="0.25">
      <c r="A107" s="5"/>
      <c r="B107" s="5"/>
      <c r="C107" s="7"/>
      <c r="E107" s="32" t="s">
        <v>16</v>
      </c>
      <c r="F107" s="25"/>
      <c r="G107" s="25"/>
      <c r="H107" s="25"/>
      <c r="I107" s="25"/>
      <c r="J107" s="35">
        <f>IFERROR(J106/F88,0)</f>
        <v>0</v>
      </c>
    </row>
    <row r="108" spans="1:11" ht="12.75" customHeight="1" x14ac:dyDescent="0.25">
      <c r="A108" s="5"/>
      <c r="B108" s="5"/>
      <c r="C108" s="7"/>
      <c r="E108" s="23" t="s">
        <v>17</v>
      </c>
      <c r="F108" s="27"/>
      <c r="G108" s="27"/>
      <c r="H108" s="27"/>
      <c r="I108" s="27"/>
      <c r="J108" s="24" t="str">
        <f>IFERROR(INDEX(E91:E102,MATCH(MAX(J91:J102),J91:J102,0)),"-")</f>
        <v>-</v>
      </c>
    </row>
    <row r="109" spans="1:11" ht="27.95" customHeight="1" x14ac:dyDescent="0.25">
      <c r="A109" s="5"/>
      <c r="B109" s="5"/>
      <c r="C109" s="7"/>
      <c r="E109" s="66" t="s">
        <v>18</v>
      </c>
      <c r="F109" s="27"/>
      <c r="G109" s="27"/>
      <c r="H109" s="27"/>
      <c r="I109" s="27"/>
      <c r="J109" s="36">
        <f>Dashboard!F7</f>
        <v>0.3</v>
      </c>
    </row>
    <row r="110" spans="1:11" x14ac:dyDescent="0.25">
      <c r="A110" s="5"/>
      <c r="B110" s="5"/>
      <c r="C110" s="7"/>
      <c r="E110" s="6" t="s">
        <v>24</v>
      </c>
      <c r="F110" s="6"/>
      <c r="G110" s="6"/>
      <c r="H110" s="6"/>
      <c r="I110" s="6"/>
      <c r="J110" s="6"/>
    </row>
    <row r="111" spans="1:11" x14ac:dyDescent="0.25">
      <c r="A111" s="5"/>
      <c r="B111" s="5"/>
      <c r="C111" s="7"/>
      <c r="E111" s="56" t="s">
        <v>6</v>
      </c>
      <c r="F111" s="102" t="s">
        <v>25</v>
      </c>
      <c r="G111" s="102"/>
      <c r="H111" s="102"/>
      <c r="I111" s="58"/>
      <c r="J111" s="58"/>
    </row>
    <row r="112" spans="1:11" x14ac:dyDescent="0.25">
      <c r="A112" s="5"/>
      <c r="B112" s="5"/>
      <c r="C112" s="7"/>
      <c r="E112" s="56" t="s">
        <v>7</v>
      </c>
      <c r="F112" s="101">
        <v>0</v>
      </c>
      <c r="G112" s="57"/>
      <c r="H112" s="57"/>
      <c r="I112" s="57"/>
      <c r="J112" s="57"/>
    </row>
    <row r="113" spans="1:11" ht="15.75" thickBot="1" x14ac:dyDescent="0.3">
      <c r="A113" s="5"/>
      <c r="B113" s="5"/>
      <c r="C113" s="7"/>
      <c r="E113" s="64" t="s">
        <v>8</v>
      </c>
      <c r="F113" s="65">
        <v>0.09</v>
      </c>
      <c r="G113" s="57"/>
      <c r="H113" s="57"/>
      <c r="I113" s="57"/>
      <c r="J113" s="57"/>
    </row>
    <row r="114" spans="1:11" ht="27.95" customHeight="1" thickTop="1" x14ac:dyDescent="0.25">
      <c r="A114" s="5"/>
      <c r="B114" s="5"/>
      <c r="C114" s="7"/>
      <c r="E114" s="63" t="s">
        <v>9</v>
      </c>
      <c r="F114" s="70">
        <f>IFERROR(F112/(1+F113),0)</f>
        <v>0</v>
      </c>
      <c r="G114" s="57"/>
      <c r="H114" s="57"/>
      <c r="I114" s="57"/>
      <c r="J114" s="57"/>
    </row>
    <row r="115" spans="1:11" x14ac:dyDescent="0.25">
      <c r="A115" s="5"/>
      <c r="B115" s="5"/>
      <c r="C115" s="7"/>
      <c r="E115" s="57"/>
      <c r="F115" s="57"/>
      <c r="G115" s="57"/>
      <c r="H115" s="57"/>
      <c r="I115" s="57"/>
      <c r="J115" s="57"/>
    </row>
    <row r="116" spans="1:11" x14ac:dyDescent="0.25">
      <c r="A116" s="5"/>
      <c r="B116" s="5"/>
      <c r="C116" s="7"/>
      <c r="E116" s="86" t="s">
        <v>10</v>
      </c>
      <c r="F116" s="75" t="s">
        <v>11</v>
      </c>
      <c r="G116" s="75" t="s">
        <v>12</v>
      </c>
      <c r="H116" s="75" t="str">
        <f>"Cost / Bulk ("&amp;$F$3&amp;")"</f>
        <v>Cost / Bulk (CHF)</v>
      </c>
      <c r="I116" s="75" t="s">
        <v>87</v>
      </c>
      <c r="J116" s="76" t="str">
        <f>"Cost / Portion ("&amp;$F$3&amp;")"</f>
        <v>Cost / Portion (CHF)</v>
      </c>
    </row>
    <row r="117" spans="1:11" x14ac:dyDescent="0.25">
      <c r="A117" s="5"/>
      <c r="B117" s="5"/>
      <c r="C117" s="7"/>
      <c r="E117" s="87"/>
      <c r="F117" s="88"/>
      <c r="G117" s="88"/>
      <c r="H117" s="93"/>
      <c r="I117" s="89" t="str">
        <f>IF(G117="","",IF(G117="g","per kg",IF(G117="ml","per L",IF(G117="oz","per lb",IF(G117="kg","per kg",IF(G117="L","per L",IF(G117="lb","per lb",IF(G117="fl oz","per fl oz","per unit"))))))))</f>
        <v/>
      </c>
      <c r="J117" s="96" t="str">
        <f>IF(F117="","",IF(OR(G117="g",G117="ml"),H117/1000*F117,IF(G117="oz",H117/16*F117,H117*F117)))</f>
        <v/>
      </c>
    </row>
    <row r="118" spans="1:11" x14ac:dyDescent="0.25">
      <c r="A118" s="5"/>
      <c r="B118" s="5"/>
      <c r="C118" s="7"/>
      <c r="E118" s="87"/>
      <c r="F118" s="88"/>
      <c r="G118" s="88"/>
      <c r="H118" s="93"/>
      <c r="I118" s="89" t="str">
        <f>IF(G118="","",IF(G118="g","per kg",IF(G118="ml","per L",IF(G118="oz","per lb",IF(G118="kg","per kg",IF(G118="L","per L",IF(G118="lb","per lb",IF(G118="fl oz","per fl oz","per unit"))))))))</f>
        <v/>
      </c>
      <c r="J118" s="96" t="str">
        <f>IF(F118="","",IF(OR(G118="g",G118="ml"),H118/1000*F118,IF(G118="oz",H118/16*F118,H118*F118)))</f>
        <v/>
      </c>
    </row>
    <row r="119" spans="1:11" x14ac:dyDescent="0.25">
      <c r="A119" s="5"/>
      <c r="B119" s="5"/>
      <c r="C119" s="7"/>
      <c r="E119" s="87"/>
      <c r="F119" s="88"/>
      <c r="G119" s="88"/>
      <c r="H119" s="93"/>
      <c r="I119" s="89" t="str">
        <f>IF(G119="","",IF(G119="g","per kg",IF(G119="ml","per L",IF(G119="oz","per lb",IF(G119="kg","per kg",IF(G119="L","per L",IF(G119="lb","per lb",IF(G119="fl oz","per fl oz","per unit"))))))))</f>
        <v/>
      </c>
      <c r="J119" s="96" t="str">
        <f>IF(F119="","",IF(OR(G119="g",G119="ml"),H119/1000*F119,IF(G119="oz",H119/16*F119,H119*F119)))</f>
        <v/>
      </c>
    </row>
    <row r="120" spans="1:11" x14ac:dyDescent="0.25">
      <c r="A120" s="5"/>
      <c r="B120" s="5"/>
      <c r="C120" s="7"/>
      <c r="E120" s="87"/>
      <c r="F120" s="88"/>
      <c r="G120" s="88"/>
      <c r="H120" s="93"/>
      <c r="I120" s="89" t="str">
        <f>IF(G120="","",IF(G120="g","per kg",IF(G120="ml","per L",IF(G120="oz","per lb",IF(G120="kg","per kg",IF(G120="L","per L",IF(G120="lb","per lb",IF(G120="fl oz","per fl oz","per unit"))))))))</f>
        <v/>
      </c>
      <c r="J120" s="96" t="str">
        <f>IF(F120="","",IF(OR(G120="g",G120="ml"),H120/1000*F120,IF(G120="oz",H120/16*F120,H120*F120)))</f>
        <v/>
      </c>
    </row>
    <row r="121" spans="1:11" x14ac:dyDescent="0.25">
      <c r="A121" s="5"/>
      <c r="B121" s="5"/>
      <c r="C121" s="7"/>
      <c r="E121" s="87"/>
      <c r="F121" s="88"/>
      <c r="G121" s="88"/>
      <c r="H121" s="93"/>
      <c r="I121" s="89" t="str">
        <f>IF(G121="","",IF(G121="g","per kg",IF(G121="ml","per L",IF(G121="oz","per lb",IF(G121="kg","per kg",IF(G121="L","per L",IF(G121="lb","per lb",IF(G121="fl oz","per fl oz","per unit"))))))))</f>
        <v/>
      </c>
      <c r="J121" s="96" t="str">
        <f>IF(F121="","",IF(OR(G121="g",G121="ml"),H121/1000*F121,IF(G121="oz",H121/16*F121,H121*F121)))</f>
        <v/>
      </c>
    </row>
    <row r="122" spans="1:11" x14ac:dyDescent="0.25">
      <c r="A122" s="5"/>
      <c r="B122" s="5"/>
      <c r="C122" s="7"/>
      <c r="E122" s="87"/>
      <c r="F122" s="88"/>
      <c r="G122" s="88"/>
      <c r="H122" s="93"/>
      <c r="I122" s="89" t="str">
        <f>IF(G122="","",IF(G122="g","per kg",IF(G122="ml","per L",IF(G122="oz","per lb",IF(G122="kg","per kg",IF(G122="L","per L",IF(G122="lb","per lb",IF(G122="fl oz","per fl oz","per unit"))))))))</f>
        <v/>
      </c>
      <c r="J122" s="96" t="str">
        <f>IF(F122="","",IF(OR(G122="g",G122="ml"),H122/1000*F122,IF(G122="oz",H122/16*F122,H122*F122)))</f>
        <v/>
      </c>
    </row>
    <row r="123" spans="1:11" x14ac:dyDescent="0.25">
      <c r="A123" s="5"/>
      <c r="B123" s="5"/>
      <c r="C123" s="7"/>
      <c r="E123" s="87"/>
      <c r="F123" s="88"/>
      <c r="G123" s="88"/>
      <c r="H123" s="93"/>
      <c r="I123" s="89" t="str">
        <f>IF(G123="","",IF(G123="g","per kg",IF(G123="ml","per L",IF(G123="oz","per lb",IF(G123="kg","per kg",IF(G123="L","per L",IF(G123="lb","per lb",IF(G123="fl oz","per fl oz","per unit"))))))))</f>
        <v/>
      </c>
      <c r="J123" s="96" t="str">
        <f>IF(F123="","",IF(OR(G123="g",G123="ml"),H123/1000*F123,IF(G123="oz",H123/16*F123,H123*F123)))</f>
        <v/>
      </c>
    </row>
    <row r="124" spans="1:11" x14ac:dyDescent="0.25">
      <c r="A124" s="5"/>
      <c r="B124" s="5"/>
      <c r="C124" s="7"/>
      <c r="E124" s="87"/>
      <c r="F124" s="88"/>
      <c r="G124" s="88"/>
      <c r="H124" s="93"/>
      <c r="I124" s="89" t="str">
        <f>IF(G124="","",IF(G124="g","per kg",IF(G124="ml","per L",IF(G124="oz","per lb",IF(G124="kg","per kg",IF(G124="L","per L",IF(G124="lb","per lb",IF(G124="fl oz","per fl oz","per unit"))))))))</f>
        <v/>
      </c>
      <c r="J124" s="96" t="str">
        <f>IF(F124="","",IF(OR(G124="g",G124="ml"),H124/1000*F124,IF(G124="oz",H124/16*F124,H124*F124)))</f>
        <v/>
      </c>
    </row>
    <row r="125" spans="1:11" x14ac:dyDescent="0.25">
      <c r="A125" s="5"/>
      <c r="B125" s="5"/>
      <c r="C125" s="7"/>
      <c r="E125" s="87"/>
      <c r="F125" s="88"/>
      <c r="G125" s="88"/>
      <c r="H125" s="93"/>
      <c r="I125" s="89" t="str">
        <f>IF(G125="","",IF(G125="g","per kg",IF(G125="ml","per L",IF(G125="oz","per lb",IF(G125="kg","per kg",IF(G125="L","per L",IF(G125="lb","per lb",IF(G125="fl oz","per fl oz","per unit"))))))))</f>
        <v/>
      </c>
      <c r="J125" s="96" t="str">
        <f>IF(F125="","",IF(OR(G125="g",G125="ml"),H125/1000*F125,IF(G125="oz",H125/16*F125,H125*F125)))</f>
        <v/>
      </c>
    </row>
    <row r="126" spans="1:11" x14ac:dyDescent="0.25">
      <c r="A126" s="5"/>
      <c r="B126" s="5"/>
      <c r="C126" s="7"/>
      <c r="E126" s="87"/>
      <c r="F126" s="88"/>
      <c r="G126" s="88"/>
      <c r="H126" s="93"/>
      <c r="I126" s="89" t="str">
        <f>IF(G126="","",IF(G126="g","per kg",IF(G126="ml","per L",IF(G126="oz","per lb",IF(G126="kg","per kg",IF(G126="L","per L",IF(G126="lb","per lb",IF(G126="fl oz","per fl oz","per unit"))))))))</f>
        <v/>
      </c>
      <c r="J126" s="96" t="str">
        <f>IF(F126="","",IF(OR(G126="g",G126="ml"),H126/1000*F126,IF(G126="oz",H126/16*F126,H126*F126)))</f>
        <v/>
      </c>
    </row>
    <row r="127" spans="1:11" x14ac:dyDescent="0.25">
      <c r="A127" s="5"/>
      <c r="B127" s="5"/>
      <c r="C127" s="7"/>
      <c r="E127" s="87"/>
      <c r="F127" s="88"/>
      <c r="G127" s="88"/>
      <c r="H127" s="93"/>
      <c r="I127" s="89" t="str">
        <f>IF(G127="","",IF(G127="g","per kg",IF(G127="ml","per L",IF(G127="oz","per lb",IF(G127="kg","per kg",IF(G127="L","per L",IF(G127="lb","per lb",IF(G127="fl oz","per fl oz","per unit"))))))))</f>
        <v/>
      </c>
      <c r="J127" s="96" t="str">
        <f>IF(F127="","",IF(OR(G127="g",G127="ml"),H127/1000*F127,IF(G127="oz",H127/16*F127,H127*F127)))</f>
        <v/>
      </c>
      <c r="K127" s="105"/>
    </row>
    <row r="128" spans="1:11" x14ac:dyDescent="0.25">
      <c r="A128" s="5"/>
      <c r="B128" s="5"/>
      <c r="C128" s="7"/>
      <c r="E128" s="90"/>
      <c r="F128" s="91"/>
      <c r="G128" s="91"/>
      <c r="H128" s="94"/>
      <c r="I128" s="92" t="str">
        <f>IF(G128="","",IF(G128="g","per kg",IF(G128="ml","per L",IF(G128="oz","per lb",IF(G128="kg","per kg",IF(G128="L","per L",IF(G128="lb","per lb",IF(G128="fl oz","per fl oz","per unit"))))))))</f>
        <v/>
      </c>
      <c r="J128" s="71" t="str">
        <f>IF(F128="","",IF(OR(G128="g",G128="ml"),H128/1000*F128,IF(G128="oz",H128/16*F128,H128*F128)))</f>
        <v/>
      </c>
    </row>
    <row r="129" spans="1:11" x14ac:dyDescent="0.25">
      <c r="A129" s="5"/>
      <c r="B129" s="5"/>
      <c r="C129" s="7"/>
      <c r="E129" s="106"/>
      <c r="F129" s="107"/>
      <c r="G129" s="107"/>
      <c r="H129" s="107"/>
      <c r="I129" s="117"/>
      <c r="J129" s="113"/>
      <c r="K129" s="104"/>
    </row>
    <row r="130" spans="1:11" ht="12.75" customHeight="1" x14ac:dyDescent="0.25">
      <c r="A130" s="5"/>
      <c r="B130" s="5"/>
      <c r="C130" s="7"/>
      <c r="E130" s="21" t="s">
        <v>13</v>
      </c>
      <c r="F130" s="22"/>
      <c r="G130" s="22"/>
      <c r="H130" s="22"/>
      <c r="I130" s="115"/>
      <c r="J130" s="111">
        <f>SUM(J117:J128)</f>
        <v>0</v>
      </c>
      <c r="K130" s="104"/>
    </row>
    <row r="131" spans="1:11" x14ac:dyDescent="0.25">
      <c r="A131" s="5"/>
      <c r="B131" s="5"/>
      <c r="C131" s="7"/>
      <c r="E131" s="31" t="s">
        <v>14</v>
      </c>
      <c r="F131" s="27"/>
      <c r="G131" s="27"/>
      <c r="H131" s="27"/>
      <c r="I131" s="27"/>
      <c r="J131" s="112">
        <f>IFERROR(J130/F114,0)</f>
        <v>0</v>
      </c>
      <c r="K131" s="104"/>
    </row>
    <row r="132" spans="1:11" x14ac:dyDescent="0.25">
      <c r="A132" s="5"/>
      <c r="B132" s="5"/>
      <c r="C132" s="7"/>
      <c r="E132" s="32" t="s">
        <v>15</v>
      </c>
      <c r="F132" s="25"/>
      <c r="G132" s="25"/>
      <c r="H132" s="25"/>
      <c r="I132" s="25"/>
      <c r="J132" s="34">
        <f>F114-J130</f>
        <v>0</v>
      </c>
    </row>
    <row r="133" spans="1:11" x14ac:dyDescent="0.25">
      <c r="A133" s="5"/>
      <c r="B133" s="5"/>
      <c r="C133" s="7"/>
      <c r="E133" s="32" t="s">
        <v>16</v>
      </c>
      <c r="F133" s="25"/>
      <c r="G133" s="25"/>
      <c r="H133" s="25"/>
      <c r="I133" s="25"/>
      <c r="J133" s="35">
        <f>IFERROR(J132/F114,0)</f>
        <v>0</v>
      </c>
    </row>
    <row r="134" spans="1:11" x14ac:dyDescent="0.25">
      <c r="A134" s="5"/>
      <c r="B134" s="5"/>
      <c r="C134" s="7"/>
      <c r="E134" s="23" t="s">
        <v>17</v>
      </c>
      <c r="F134" s="27"/>
      <c r="G134" s="27"/>
      <c r="H134" s="27"/>
      <c r="I134" s="27"/>
      <c r="J134" s="24" t="str">
        <f>IFERROR(INDEX(E117:E128,MATCH(MAX(J117:J128),J117:J128,0)),"-")</f>
        <v>-</v>
      </c>
    </row>
    <row r="135" spans="1:11" x14ac:dyDescent="0.25">
      <c r="A135" s="5"/>
      <c r="B135" s="5"/>
      <c r="C135" s="7"/>
      <c r="E135" s="66" t="s">
        <v>18</v>
      </c>
      <c r="F135" s="27"/>
      <c r="G135" s="27"/>
      <c r="H135" s="27"/>
      <c r="I135" s="27"/>
      <c r="J135" s="36">
        <f>Dashboard!F7</f>
        <v>0.3</v>
      </c>
    </row>
    <row r="136" spans="1:11" ht="27.95" customHeight="1" x14ac:dyDescent="0.25">
      <c r="A136" s="5"/>
      <c r="B136" s="5"/>
      <c r="C136" s="7"/>
      <c r="E136"/>
      <c r="F136"/>
      <c r="G136"/>
      <c r="H136"/>
      <c r="I136"/>
      <c r="J136"/>
    </row>
    <row r="137" spans="1:11" x14ac:dyDescent="0.25">
      <c r="A137" s="5"/>
      <c r="B137" s="5"/>
      <c r="C137" s="7"/>
      <c r="E137"/>
      <c r="F137"/>
      <c r="G137"/>
      <c r="H137"/>
      <c r="I137"/>
      <c r="J137"/>
    </row>
    <row r="138" spans="1:11" x14ac:dyDescent="0.25">
      <c r="A138" s="5"/>
      <c r="B138" s="5"/>
      <c r="C138" s="7"/>
      <c r="E138"/>
      <c r="F138"/>
      <c r="G138"/>
      <c r="H138"/>
      <c r="I138"/>
      <c r="J138"/>
    </row>
    <row r="139" spans="1:11" x14ac:dyDescent="0.25">
      <c r="A139" s="5"/>
      <c r="B139" s="5"/>
      <c r="C139" s="7"/>
      <c r="E139"/>
      <c r="F139"/>
      <c r="G139"/>
      <c r="H139"/>
      <c r="I139"/>
      <c r="J139"/>
    </row>
    <row r="140" spans="1:11" x14ac:dyDescent="0.25">
      <c r="A140" s="5"/>
      <c r="B140" s="5"/>
      <c r="C140" s="7"/>
      <c r="E140"/>
      <c r="F140"/>
      <c r="G140"/>
      <c r="H140"/>
      <c r="I140"/>
      <c r="J140"/>
    </row>
    <row r="141" spans="1:11" x14ac:dyDescent="0.25">
      <c r="A141" s="5"/>
      <c r="B141" s="5"/>
      <c r="C141" s="7"/>
      <c r="E141"/>
      <c r="F141"/>
      <c r="G141"/>
      <c r="H141"/>
      <c r="I141"/>
      <c r="J141"/>
    </row>
    <row r="142" spans="1:11" x14ac:dyDescent="0.25">
      <c r="A142" s="5"/>
      <c r="B142" s="5"/>
      <c r="C142" s="7"/>
      <c r="E142"/>
      <c r="F142"/>
      <c r="G142"/>
      <c r="H142"/>
      <c r="I142"/>
      <c r="J142"/>
    </row>
    <row r="143" spans="1:11" x14ac:dyDescent="0.25">
      <c r="A143" s="5"/>
      <c r="B143" s="5"/>
      <c r="C143" s="7"/>
      <c r="E143"/>
      <c r="F143"/>
      <c r="G143"/>
      <c r="H143"/>
      <c r="I143"/>
      <c r="J143"/>
    </row>
    <row r="144" spans="1:11" x14ac:dyDescent="0.25">
      <c r="A144" s="5"/>
      <c r="B144" s="5"/>
      <c r="C144" s="7"/>
      <c r="E144"/>
      <c r="F144"/>
      <c r="G144"/>
      <c r="H144"/>
      <c r="I144"/>
      <c r="J144"/>
    </row>
    <row r="145" spans="1:10" x14ac:dyDescent="0.25">
      <c r="A145" s="5"/>
      <c r="B145" s="5"/>
      <c r="C145" s="7"/>
      <c r="E145"/>
      <c r="F145"/>
      <c r="G145"/>
      <c r="H145"/>
      <c r="I145"/>
      <c r="J145"/>
    </row>
    <row r="146" spans="1:10" x14ac:dyDescent="0.25">
      <c r="A146" s="5"/>
      <c r="B146" s="5"/>
      <c r="C146" s="7"/>
      <c r="E146"/>
      <c r="F146"/>
      <c r="G146"/>
      <c r="H146"/>
      <c r="I146"/>
      <c r="J146"/>
    </row>
    <row r="147" spans="1:10" x14ac:dyDescent="0.25">
      <c r="A147" s="5"/>
      <c r="B147" s="5"/>
      <c r="C147" s="7"/>
      <c r="E147"/>
      <c r="F147"/>
      <c r="G147"/>
      <c r="H147"/>
      <c r="I147"/>
      <c r="J147"/>
    </row>
    <row r="148" spans="1:10" x14ac:dyDescent="0.25">
      <c r="E148"/>
      <c r="F148"/>
      <c r="G148"/>
      <c r="H148"/>
      <c r="I148"/>
      <c r="J148"/>
    </row>
    <row r="149" spans="1:10" x14ac:dyDescent="0.25">
      <c r="E149"/>
      <c r="F149"/>
      <c r="G149"/>
      <c r="H149"/>
      <c r="I149"/>
      <c r="J149"/>
    </row>
    <row r="150" spans="1:10" x14ac:dyDescent="0.25">
      <c r="E150"/>
      <c r="F150"/>
      <c r="G150"/>
      <c r="H150"/>
      <c r="I150"/>
      <c r="J150"/>
    </row>
    <row r="151" spans="1:10" ht="12.75" customHeight="1" x14ac:dyDescent="0.25">
      <c r="E151"/>
      <c r="F151"/>
      <c r="G151"/>
      <c r="H151"/>
      <c r="I151"/>
      <c r="J151"/>
    </row>
    <row r="152" spans="1:10" x14ac:dyDescent="0.25">
      <c r="E152"/>
      <c r="F152"/>
      <c r="G152"/>
      <c r="H152"/>
      <c r="I152"/>
      <c r="J152"/>
    </row>
    <row r="153" spans="1:10" x14ac:dyDescent="0.25">
      <c r="E153"/>
      <c r="F153"/>
      <c r="G153"/>
      <c r="H153"/>
      <c r="I153"/>
      <c r="J153"/>
    </row>
    <row r="154" spans="1:10" x14ac:dyDescent="0.25">
      <c r="E154"/>
      <c r="F154"/>
      <c r="G154"/>
      <c r="H154"/>
      <c r="I154"/>
      <c r="J154"/>
    </row>
    <row r="155" spans="1:10" x14ac:dyDescent="0.25">
      <c r="E155"/>
      <c r="F155"/>
      <c r="G155"/>
      <c r="H155"/>
      <c r="I155"/>
      <c r="J155"/>
    </row>
    <row r="156" spans="1:10" x14ac:dyDescent="0.25">
      <c r="E156"/>
      <c r="F156"/>
      <c r="G156"/>
      <c r="H156"/>
      <c r="I156"/>
      <c r="J156"/>
    </row>
    <row r="157" spans="1:10" ht="27.95" customHeight="1" x14ac:dyDescent="0.25">
      <c r="E157"/>
      <c r="F157"/>
      <c r="G157"/>
      <c r="H157"/>
      <c r="I157"/>
      <c r="J157"/>
    </row>
    <row r="158" spans="1:10" x14ac:dyDescent="0.25">
      <c r="E158"/>
      <c r="F158"/>
      <c r="G158"/>
      <c r="H158"/>
      <c r="I158"/>
      <c r="J158"/>
    </row>
    <row r="159" spans="1:10" x14ac:dyDescent="0.25">
      <c r="E159"/>
      <c r="F159"/>
      <c r="G159"/>
      <c r="H159"/>
      <c r="I159"/>
      <c r="J159"/>
    </row>
    <row r="160" spans="1:10" x14ac:dyDescent="0.25">
      <c r="E160"/>
      <c r="F160"/>
      <c r="G160"/>
      <c r="H160"/>
      <c r="I160"/>
      <c r="J160"/>
    </row>
    <row r="161" spans="5:10" x14ac:dyDescent="0.25">
      <c r="E161"/>
      <c r="F161"/>
      <c r="G161"/>
      <c r="H161"/>
      <c r="I161"/>
      <c r="J161"/>
    </row>
    <row r="162" spans="5:10" x14ac:dyDescent="0.25">
      <c r="E162"/>
      <c r="F162"/>
      <c r="G162"/>
      <c r="H162"/>
      <c r="I162"/>
      <c r="J162"/>
    </row>
    <row r="163" spans="5:10" x14ac:dyDescent="0.25">
      <c r="E163"/>
      <c r="F163"/>
      <c r="G163"/>
      <c r="H163"/>
      <c r="I163"/>
      <c r="J163"/>
    </row>
    <row r="164" spans="5:10" x14ac:dyDescent="0.25">
      <c r="E164"/>
      <c r="F164"/>
      <c r="G164"/>
      <c r="H164"/>
      <c r="I164"/>
      <c r="J164"/>
    </row>
    <row r="165" spans="5:10" x14ac:dyDescent="0.25">
      <c r="E165"/>
      <c r="F165"/>
      <c r="G165"/>
      <c r="H165"/>
      <c r="I165"/>
      <c r="J165"/>
    </row>
    <row r="166" spans="5:10" x14ac:dyDescent="0.25">
      <c r="E166"/>
      <c r="F166"/>
      <c r="G166"/>
      <c r="H166"/>
      <c r="I166"/>
      <c r="J166"/>
    </row>
    <row r="167" spans="5:10" x14ac:dyDescent="0.25">
      <c r="E167"/>
      <c r="F167"/>
      <c r="G167"/>
      <c r="H167"/>
      <c r="I167"/>
      <c r="J167"/>
    </row>
    <row r="168" spans="5:10" x14ac:dyDescent="0.25">
      <c r="E168"/>
      <c r="F168"/>
      <c r="G168"/>
      <c r="H168"/>
      <c r="I168"/>
      <c r="J168"/>
    </row>
    <row r="169" spans="5:10" x14ac:dyDescent="0.25">
      <c r="E169"/>
      <c r="F169"/>
      <c r="G169"/>
      <c r="H169"/>
      <c r="I169"/>
      <c r="J169"/>
    </row>
    <row r="170" spans="5:10" x14ac:dyDescent="0.25">
      <c r="E170"/>
      <c r="F170"/>
      <c r="G170"/>
      <c r="H170"/>
      <c r="I170"/>
      <c r="J170"/>
    </row>
    <row r="171" spans="5:10" x14ac:dyDescent="0.25">
      <c r="E171"/>
      <c r="F171"/>
      <c r="G171"/>
      <c r="H171"/>
      <c r="I171"/>
      <c r="J171"/>
    </row>
    <row r="172" spans="5:10" ht="12.75" customHeight="1" x14ac:dyDescent="0.25">
      <c r="E172"/>
      <c r="F172"/>
      <c r="G172"/>
      <c r="H172"/>
      <c r="I172"/>
      <c r="J172"/>
    </row>
    <row r="173" spans="5:10" x14ac:dyDescent="0.25">
      <c r="E173"/>
      <c r="F173"/>
      <c r="G173"/>
      <c r="H173"/>
      <c r="I173"/>
      <c r="J173"/>
    </row>
    <row r="174" spans="5:10" x14ac:dyDescent="0.25">
      <c r="E174"/>
      <c r="F174"/>
      <c r="G174"/>
      <c r="H174"/>
      <c r="I174"/>
      <c r="J174"/>
    </row>
    <row r="175" spans="5:10" x14ac:dyDescent="0.25">
      <c r="E175"/>
      <c r="F175"/>
      <c r="G175"/>
      <c r="H175"/>
      <c r="I175"/>
      <c r="J175"/>
    </row>
    <row r="176" spans="5:10" x14ac:dyDescent="0.25">
      <c r="E176"/>
      <c r="F176"/>
      <c r="G176"/>
      <c r="H176"/>
      <c r="I176"/>
      <c r="J176"/>
    </row>
    <row r="177" spans="5:10" x14ac:dyDescent="0.25">
      <c r="E177"/>
      <c r="F177"/>
      <c r="G177"/>
      <c r="H177"/>
      <c r="I177"/>
      <c r="J177"/>
    </row>
    <row r="178" spans="5:10" ht="27.95" customHeight="1" x14ac:dyDescent="0.25">
      <c r="E178"/>
      <c r="F178"/>
      <c r="G178"/>
      <c r="H178"/>
      <c r="I178"/>
      <c r="J178"/>
    </row>
    <row r="179" spans="5:10" x14ac:dyDescent="0.25">
      <c r="E179"/>
      <c r="F179"/>
      <c r="G179"/>
      <c r="H179"/>
      <c r="I179"/>
      <c r="J179"/>
    </row>
    <row r="180" spans="5:10" x14ac:dyDescent="0.25">
      <c r="E180"/>
      <c r="F180"/>
      <c r="G180"/>
      <c r="H180"/>
      <c r="I180"/>
      <c r="J180"/>
    </row>
    <row r="181" spans="5:10" x14ac:dyDescent="0.25">
      <c r="E181"/>
      <c r="F181"/>
      <c r="G181"/>
      <c r="H181"/>
      <c r="I181"/>
      <c r="J181"/>
    </row>
    <row r="182" spans="5:10" x14ac:dyDescent="0.25">
      <c r="E182"/>
      <c r="F182"/>
      <c r="G182"/>
      <c r="H182"/>
      <c r="I182"/>
      <c r="J182"/>
    </row>
    <row r="183" spans="5:10" x14ac:dyDescent="0.25">
      <c r="E183"/>
      <c r="F183"/>
      <c r="G183"/>
      <c r="H183"/>
      <c r="I183"/>
      <c r="J183"/>
    </row>
    <row r="184" spans="5:10" x14ac:dyDescent="0.25">
      <c r="E184"/>
      <c r="F184"/>
      <c r="G184"/>
      <c r="H184"/>
      <c r="I184"/>
      <c r="J184"/>
    </row>
    <row r="185" spans="5:10" x14ac:dyDescent="0.25">
      <c r="E185"/>
      <c r="F185"/>
      <c r="G185"/>
      <c r="H185"/>
      <c r="I185"/>
      <c r="J185"/>
    </row>
    <row r="186" spans="5:10" x14ac:dyDescent="0.25">
      <c r="E186"/>
      <c r="F186"/>
      <c r="G186"/>
      <c r="H186"/>
      <c r="I186"/>
      <c r="J186"/>
    </row>
    <row r="187" spans="5:10" x14ac:dyDescent="0.25">
      <c r="E187"/>
      <c r="F187"/>
      <c r="G187"/>
      <c r="H187"/>
      <c r="I187"/>
      <c r="J187"/>
    </row>
    <row r="188" spans="5:10" x14ac:dyDescent="0.25">
      <c r="E188"/>
      <c r="F188"/>
      <c r="G188"/>
      <c r="H188"/>
      <c r="I188"/>
      <c r="J188"/>
    </row>
    <row r="189" spans="5:10" x14ac:dyDescent="0.25">
      <c r="E189"/>
      <c r="F189"/>
      <c r="G189"/>
      <c r="H189"/>
      <c r="I189"/>
      <c r="J189"/>
    </row>
    <row r="190" spans="5:10" x14ac:dyDescent="0.25">
      <c r="E190"/>
      <c r="F190"/>
      <c r="G190"/>
      <c r="H190"/>
      <c r="I190"/>
      <c r="J190"/>
    </row>
    <row r="191" spans="5:10" x14ac:dyDescent="0.25">
      <c r="E191"/>
      <c r="F191"/>
      <c r="G191"/>
      <c r="H191"/>
      <c r="I191"/>
      <c r="J191"/>
    </row>
    <row r="192" spans="5:10" x14ac:dyDescent="0.25">
      <c r="E192"/>
      <c r="F192"/>
      <c r="G192"/>
      <c r="H192"/>
      <c r="I192"/>
      <c r="J192"/>
    </row>
    <row r="193" spans="5:10" ht="12.75" customHeight="1" x14ac:dyDescent="0.25">
      <c r="E193"/>
      <c r="F193"/>
      <c r="G193"/>
      <c r="H193"/>
      <c r="I193"/>
      <c r="J193"/>
    </row>
    <row r="194" spans="5:10" x14ac:dyDescent="0.25">
      <c r="E194"/>
      <c r="F194"/>
      <c r="G194"/>
      <c r="H194"/>
      <c r="I194"/>
      <c r="J194"/>
    </row>
    <row r="195" spans="5:10" x14ac:dyDescent="0.25">
      <c r="E195"/>
      <c r="F195"/>
      <c r="G195"/>
      <c r="H195"/>
      <c r="I195"/>
      <c r="J195"/>
    </row>
    <row r="196" spans="5:10" x14ac:dyDescent="0.25">
      <c r="E196"/>
      <c r="F196"/>
      <c r="G196"/>
      <c r="H196"/>
      <c r="I196"/>
      <c r="J196"/>
    </row>
    <row r="197" spans="5:10" x14ac:dyDescent="0.25">
      <c r="E197"/>
      <c r="F197"/>
      <c r="G197"/>
      <c r="H197"/>
      <c r="I197"/>
      <c r="J197"/>
    </row>
    <row r="198" spans="5:10" x14ac:dyDescent="0.25">
      <c r="E198"/>
      <c r="F198"/>
      <c r="G198"/>
      <c r="H198"/>
      <c r="I198"/>
      <c r="J198"/>
    </row>
    <row r="199" spans="5:10" ht="27.95" customHeight="1" x14ac:dyDescent="0.25">
      <c r="E199"/>
      <c r="F199"/>
      <c r="G199"/>
      <c r="H199"/>
      <c r="I199"/>
      <c r="J199"/>
    </row>
    <row r="200" spans="5:10" x14ac:dyDescent="0.25">
      <c r="E200"/>
      <c r="F200"/>
      <c r="G200"/>
      <c r="H200"/>
      <c r="I200"/>
      <c r="J200"/>
    </row>
    <row r="201" spans="5:10" x14ac:dyDescent="0.25">
      <c r="E201"/>
      <c r="F201"/>
      <c r="G201"/>
      <c r="H201"/>
      <c r="I201"/>
      <c r="J201"/>
    </row>
    <row r="202" spans="5:10" x14ac:dyDescent="0.25">
      <c r="E202"/>
      <c r="F202"/>
      <c r="G202"/>
      <c r="H202"/>
      <c r="I202"/>
      <c r="J202"/>
    </row>
    <row r="203" spans="5:10" x14ac:dyDescent="0.25">
      <c r="E203"/>
      <c r="F203"/>
      <c r="G203"/>
      <c r="H203"/>
      <c r="I203"/>
      <c r="J203"/>
    </row>
    <row r="204" spans="5:10" x14ac:dyDescent="0.25">
      <c r="E204"/>
      <c r="F204"/>
      <c r="G204"/>
      <c r="H204"/>
      <c r="I204"/>
      <c r="J204"/>
    </row>
    <row r="205" spans="5:10" x14ac:dyDescent="0.25">
      <c r="E205"/>
      <c r="F205"/>
      <c r="G205"/>
      <c r="H205"/>
      <c r="I205"/>
      <c r="J205"/>
    </row>
    <row r="206" spans="5:10" x14ac:dyDescent="0.25">
      <c r="E206"/>
      <c r="F206"/>
      <c r="G206"/>
      <c r="H206"/>
      <c r="I206"/>
      <c r="J206"/>
    </row>
    <row r="207" spans="5:10" x14ac:dyDescent="0.25">
      <c r="E207"/>
      <c r="F207"/>
      <c r="G207"/>
      <c r="H207"/>
      <c r="I207"/>
      <c r="J207"/>
    </row>
    <row r="208" spans="5:10" x14ac:dyDescent="0.25">
      <c r="E208"/>
      <c r="F208"/>
      <c r="G208"/>
      <c r="H208"/>
      <c r="I208"/>
      <c r="J208"/>
    </row>
    <row r="209" spans="5:10" x14ac:dyDescent="0.25">
      <c r="E209"/>
      <c r="F209"/>
      <c r="G209"/>
      <c r="H209"/>
      <c r="I209"/>
      <c r="J209"/>
    </row>
    <row r="210" spans="5:10" x14ac:dyDescent="0.25">
      <c r="E210"/>
      <c r="F210"/>
      <c r="G210"/>
      <c r="H210"/>
      <c r="I210"/>
      <c r="J210"/>
    </row>
    <row r="211" spans="5:10" x14ac:dyDescent="0.25">
      <c r="E211"/>
      <c r="F211"/>
      <c r="G211"/>
      <c r="H211"/>
      <c r="I211"/>
      <c r="J211"/>
    </row>
    <row r="212" spans="5:10" x14ac:dyDescent="0.25">
      <c r="E212"/>
      <c r="F212"/>
      <c r="G212"/>
      <c r="H212"/>
      <c r="I212"/>
      <c r="J212"/>
    </row>
    <row r="213" spans="5:10" x14ac:dyDescent="0.25">
      <c r="E213"/>
      <c r="F213"/>
      <c r="G213"/>
      <c r="H213"/>
      <c r="I213"/>
      <c r="J213"/>
    </row>
    <row r="214" spans="5:10" ht="12.75" customHeight="1" x14ac:dyDescent="0.25">
      <c r="E214"/>
      <c r="F214"/>
      <c r="G214"/>
      <c r="H214"/>
      <c r="I214"/>
      <c r="J214"/>
    </row>
    <row r="215" spans="5:10" x14ac:dyDescent="0.25">
      <c r="E215"/>
      <c r="F215"/>
      <c r="G215"/>
      <c r="H215"/>
      <c r="I215"/>
      <c r="J215"/>
    </row>
    <row r="216" spans="5:10" x14ac:dyDescent="0.25">
      <c r="E216"/>
      <c r="F216"/>
      <c r="G216"/>
      <c r="H216"/>
      <c r="I216"/>
      <c r="J216"/>
    </row>
    <row r="217" spans="5:10" x14ac:dyDescent="0.25">
      <c r="E217"/>
      <c r="F217"/>
      <c r="G217"/>
      <c r="H217"/>
      <c r="I217"/>
      <c r="J217"/>
    </row>
    <row r="218" spans="5:10" x14ac:dyDescent="0.25">
      <c r="E218"/>
      <c r="F218"/>
      <c r="G218"/>
      <c r="H218"/>
      <c r="I218"/>
      <c r="J218"/>
    </row>
    <row r="219" spans="5:10" x14ac:dyDescent="0.25">
      <c r="E219"/>
      <c r="F219"/>
      <c r="G219"/>
      <c r="H219"/>
      <c r="I219"/>
      <c r="J219"/>
    </row>
    <row r="220" spans="5:10" x14ac:dyDescent="0.25">
      <c r="E220"/>
      <c r="F220"/>
      <c r="G220"/>
      <c r="H220"/>
      <c r="I220"/>
      <c r="J220"/>
    </row>
    <row r="221" spans="5:10" x14ac:dyDescent="0.25">
      <c r="E221"/>
      <c r="F221"/>
      <c r="G221"/>
      <c r="H221"/>
      <c r="I221"/>
      <c r="J221"/>
    </row>
    <row r="222" spans="5:10" x14ac:dyDescent="0.25">
      <c r="E222"/>
      <c r="F222"/>
      <c r="G222"/>
      <c r="H222"/>
      <c r="I222"/>
      <c r="J222"/>
    </row>
    <row r="223" spans="5:10" x14ac:dyDescent="0.25">
      <c r="E223"/>
      <c r="F223"/>
      <c r="G223"/>
      <c r="H223"/>
      <c r="I223"/>
      <c r="J223"/>
    </row>
    <row r="224" spans="5:10" x14ac:dyDescent="0.25">
      <c r="E224"/>
      <c r="F224"/>
      <c r="G224"/>
      <c r="H224"/>
      <c r="I224"/>
      <c r="J224"/>
    </row>
    <row r="225" spans="5:10" x14ac:dyDescent="0.25">
      <c r="E225"/>
      <c r="F225"/>
      <c r="G225"/>
      <c r="H225"/>
      <c r="I225"/>
      <c r="J225"/>
    </row>
    <row r="226" spans="5:10" x14ac:dyDescent="0.25">
      <c r="E226"/>
      <c r="F226"/>
      <c r="G226"/>
      <c r="H226"/>
      <c r="I226"/>
      <c r="J226"/>
    </row>
    <row r="227" spans="5:10" x14ac:dyDescent="0.25">
      <c r="E227"/>
      <c r="F227"/>
      <c r="G227"/>
      <c r="H227"/>
      <c r="I227"/>
      <c r="J227"/>
    </row>
    <row r="228" spans="5:10" x14ac:dyDescent="0.25">
      <c r="E228"/>
      <c r="F228"/>
      <c r="G228"/>
      <c r="H228"/>
      <c r="I228"/>
      <c r="J228"/>
    </row>
    <row r="229" spans="5:10" x14ac:dyDescent="0.25">
      <c r="E229"/>
      <c r="F229"/>
      <c r="G229"/>
      <c r="H229"/>
      <c r="I229"/>
      <c r="J229"/>
    </row>
    <row r="230" spans="5:10" x14ac:dyDescent="0.25">
      <c r="E230"/>
      <c r="F230"/>
      <c r="G230"/>
      <c r="H230"/>
      <c r="I230"/>
      <c r="J230"/>
    </row>
    <row r="231" spans="5:10" x14ac:dyDescent="0.25">
      <c r="E231"/>
      <c r="F231"/>
      <c r="G231"/>
      <c r="H231"/>
      <c r="I231"/>
      <c r="J231"/>
    </row>
    <row r="232" spans="5:10" x14ac:dyDescent="0.25">
      <c r="E232"/>
      <c r="F232"/>
      <c r="G232"/>
      <c r="H232"/>
      <c r="I232"/>
      <c r="J232"/>
    </row>
    <row r="233" spans="5:10" x14ac:dyDescent="0.25">
      <c r="E233"/>
      <c r="F233"/>
      <c r="G233"/>
      <c r="H233"/>
      <c r="I233"/>
      <c r="J233"/>
    </row>
    <row r="234" spans="5:10" x14ac:dyDescent="0.25">
      <c r="E234"/>
      <c r="F234"/>
      <c r="G234"/>
      <c r="H234"/>
      <c r="I234"/>
      <c r="J234"/>
    </row>
    <row r="235" spans="5:10" x14ac:dyDescent="0.25">
      <c r="E235"/>
      <c r="F235"/>
      <c r="G235"/>
      <c r="H235"/>
      <c r="I235"/>
      <c r="J235"/>
    </row>
    <row r="236" spans="5:10" x14ac:dyDescent="0.25">
      <c r="E236"/>
      <c r="F236"/>
      <c r="G236"/>
      <c r="H236"/>
      <c r="I236"/>
      <c r="J236"/>
    </row>
    <row r="237" spans="5:10" x14ac:dyDescent="0.25">
      <c r="E237"/>
      <c r="F237"/>
      <c r="G237"/>
      <c r="H237"/>
      <c r="I237"/>
      <c r="J237"/>
    </row>
    <row r="238" spans="5:10" x14ac:dyDescent="0.25">
      <c r="E238"/>
      <c r="F238"/>
      <c r="G238"/>
      <c r="H238"/>
      <c r="I238"/>
      <c r="J238"/>
    </row>
    <row r="239" spans="5:10" x14ac:dyDescent="0.25">
      <c r="E239"/>
      <c r="F239"/>
      <c r="G239"/>
      <c r="H239"/>
      <c r="I239"/>
      <c r="J239"/>
    </row>
    <row r="240" spans="5:10" x14ac:dyDescent="0.25">
      <c r="E240"/>
      <c r="F240"/>
      <c r="G240"/>
      <c r="H240"/>
      <c r="I240"/>
      <c r="J240"/>
    </row>
    <row r="241" spans="5:10" x14ac:dyDescent="0.25">
      <c r="E241"/>
      <c r="F241"/>
      <c r="G241"/>
      <c r="H241"/>
      <c r="I241"/>
      <c r="J241"/>
    </row>
    <row r="242" spans="5:10" x14ac:dyDescent="0.25">
      <c r="E242"/>
      <c r="F242"/>
      <c r="G242"/>
      <c r="H242"/>
      <c r="I242"/>
      <c r="J242"/>
    </row>
    <row r="243" spans="5:10" x14ac:dyDescent="0.25">
      <c r="E243"/>
      <c r="F243"/>
      <c r="G243"/>
      <c r="H243"/>
      <c r="I243"/>
      <c r="J243"/>
    </row>
    <row r="244" spans="5:10" x14ac:dyDescent="0.25">
      <c r="E244"/>
      <c r="F244"/>
      <c r="G244"/>
      <c r="H244"/>
      <c r="I244"/>
      <c r="J244"/>
    </row>
    <row r="245" spans="5:10" x14ac:dyDescent="0.25">
      <c r="E245"/>
      <c r="F245"/>
      <c r="G245"/>
      <c r="H245"/>
      <c r="I245"/>
      <c r="J245"/>
    </row>
    <row r="246" spans="5:10" x14ac:dyDescent="0.25">
      <c r="E246"/>
      <c r="F246"/>
      <c r="G246"/>
      <c r="H246"/>
      <c r="I246"/>
      <c r="J246"/>
    </row>
    <row r="247" spans="5:10" x14ac:dyDescent="0.25">
      <c r="E247"/>
      <c r="F247"/>
      <c r="G247"/>
      <c r="H247"/>
      <c r="I247"/>
      <c r="J247"/>
    </row>
    <row r="248" spans="5:10" x14ac:dyDescent="0.25">
      <c r="E248"/>
      <c r="F248"/>
      <c r="G248"/>
      <c r="H248"/>
      <c r="I248"/>
      <c r="J248"/>
    </row>
    <row r="249" spans="5:10" x14ac:dyDescent="0.25">
      <c r="E249"/>
      <c r="F249"/>
      <c r="G249"/>
      <c r="H249"/>
      <c r="I249"/>
      <c r="J249"/>
    </row>
    <row r="250" spans="5:10" x14ac:dyDescent="0.25">
      <c r="E250"/>
      <c r="F250"/>
      <c r="G250"/>
      <c r="H250"/>
      <c r="I250"/>
      <c r="J250"/>
    </row>
    <row r="251" spans="5:10" x14ac:dyDescent="0.25">
      <c r="E251"/>
      <c r="F251"/>
      <c r="G251"/>
      <c r="H251"/>
      <c r="I251"/>
      <c r="J251"/>
    </row>
    <row r="252" spans="5:10" x14ac:dyDescent="0.25">
      <c r="E252"/>
      <c r="F252"/>
      <c r="G252"/>
      <c r="H252"/>
      <c r="I252"/>
      <c r="J252"/>
    </row>
    <row r="253" spans="5:10" x14ac:dyDescent="0.25">
      <c r="E253"/>
      <c r="F253"/>
      <c r="G253"/>
      <c r="H253"/>
      <c r="I253"/>
      <c r="J253"/>
    </row>
    <row r="254" spans="5:10" x14ac:dyDescent="0.25">
      <c r="E254"/>
      <c r="F254"/>
      <c r="G254"/>
      <c r="H254"/>
      <c r="I254"/>
      <c r="J254"/>
    </row>
    <row r="255" spans="5:10" x14ac:dyDescent="0.25">
      <c r="E255"/>
      <c r="F255"/>
      <c r="G255"/>
      <c r="H255"/>
      <c r="I255"/>
      <c r="J255"/>
    </row>
    <row r="256" spans="5:10" x14ac:dyDescent="0.25">
      <c r="E256"/>
      <c r="F256"/>
      <c r="G256"/>
      <c r="H256"/>
      <c r="I256"/>
      <c r="J256"/>
    </row>
  </sheetData>
  <mergeCells count="10">
    <mergeCell ref="E110:J110"/>
    <mergeCell ref="F111:J111"/>
    <mergeCell ref="E58:J58"/>
    <mergeCell ref="F59:J59"/>
    <mergeCell ref="E84:J84"/>
    <mergeCell ref="F85:J85"/>
    <mergeCell ref="E6:J6"/>
    <mergeCell ref="F7:J7"/>
    <mergeCell ref="E32:J32"/>
    <mergeCell ref="F33:J33"/>
  </mergeCells>
  <dataValidations disablePrompts="1" count="2">
    <dataValidation type="list" allowBlank="1" showInputMessage="1" showErrorMessage="1" sqref="G117:G129 G13:G25 G39:G51 G65:G77 G91:G103" xr:uid="{1E794D71-3D01-4933-A779-F40FB626ECFD}">
      <formula1>"g,kg,ml,L,oz,lb,fl oz,pcs"</formula1>
    </dataValidation>
    <dataValidation type="list" allowBlank="1" showInputMessage="1" showErrorMessage="1" sqref="F3:F4" xr:uid="{B61599EB-A8EB-41D5-B9EC-48F4C0E4CD7B}">
      <formula1>"€,$,£,¥,CHF,AED,SAR"</formula1>
    </dataValidation>
  </dataValidations>
  <hyperlinks>
    <hyperlink ref="B3" location="Dashboard!E1" tooltip="Go to Dashboard" display="Dashboard!E1" xr:uid="{EA9DFB47-7A51-41C6-9635-59248309C57D}"/>
    <hyperlink ref="B4" location="'Dish Input'!E1" tooltip="Go to Dish Input" display="'Dish Input'!E1" xr:uid="{4317AD01-92B0-4C01-A4C5-CE839E6C9AFA}"/>
    <hyperlink ref="B5" location="Notes!E1" tooltip="Go to Notes" display="Notes!E1" xr:uid="{6DB21B4E-FC60-4E17-A381-EC09AFFB441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D048-319B-4F98-BB2B-1E69BDF308D2}">
  <dimension ref="A1:E49"/>
  <sheetViews>
    <sheetView showGridLines="0" tabSelected="1" workbookViewId="0">
      <pane xSplit="3" topLeftCell="D1" activePane="topRight" state="frozen"/>
      <selection pane="topRight" activeCell="M12" sqref="M12"/>
    </sheetView>
  </sheetViews>
  <sheetFormatPr defaultRowHeight="12.75" x14ac:dyDescent="0.2"/>
  <cols>
    <col min="1" max="1" width="1.28515625" style="1" customWidth="1"/>
    <col min="2" max="2" width="31.42578125" style="1" customWidth="1"/>
    <col min="3" max="3" width="1.85546875" style="1" customWidth="1"/>
    <col min="4" max="4" width="1.5703125" style="1" customWidth="1"/>
    <col min="5" max="5" width="95.28515625" style="1" customWidth="1"/>
    <col min="6" max="16384" width="9.140625" style="1"/>
  </cols>
  <sheetData>
    <row r="1" spans="1:5" ht="36" customHeight="1" x14ac:dyDescent="0.3">
      <c r="A1" s="5"/>
      <c r="B1" s="20"/>
      <c r="C1" s="7"/>
      <c r="E1" s="3" t="s">
        <v>40</v>
      </c>
    </row>
    <row r="2" spans="1:5" ht="18" customHeight="1" x14ac:dyDescent="0.2">
      <c r="A2" s="5"/>
      <c r="B2" s="118" t="s">
        <v>1</v>
      </c>
      <c r="C2" s="7"/>
      <c r="E2" s="4" t="s">
        <v>41</v>
      </c>
    </row>
    <row r="3" spans="1:5" ht="24.75" customHeight="1" x14ac:dyDescent="0.2">
      <c r="A3" s="5"/>
      <c r="B3" s="82" t="s">
        <v>2</v>
      </c>
      <c r="C3" s="7"/>
    </row>
    <row r="4" spans="1:5" ht="21.95" customHeight="1" x14ac:dyDescent="0.25">
      <c r="A4" s="5"/>
      <c r="B4" s="81" t="s">
        <v>3</v>
      </c>
      <c r="C4" s="7"/>
      <c r="E4" s="13" t="s">
        <v>42</v>
      </c>
    </row>
    <row r="5" spans="1:5" ht="21.95" customHeight="1" x14ac:dyDescent="0.2">
      <c r="A5" s="7"/>
      <c r="B5" s="80" t="s">
        <v>4</v>
      </c>
      <c r="C5" s="7"/>
      <c r="E5" s="14" t="s">
        <v>43</v>
      </c>
    </row>
    <row r="6" spans="1:5" ht="21.95" customHeight="1" x14ac:dyDescent="0.2">
      <c r="A6" s="5"/>
      <c r="B6" s="5"/>
      <c r="C6" s="7"/>
      <c r="E6" s="67" t="s">
        <v>83</v>
      </c>
    </row>
    <row r="7" spans="1:5" x14ac:dyDescent="0.2">
      <c r="A7" s="5"/>
      <c r="B7" s="5"/>
      <c r="C7" s="7"/>
      <c r="E7" s="2" t="s">
        <v>44</v>
      </c>
    </row>
    <row r="8" spans="1:5" x14ac:dyDescent="0.2">
      <c r="A8" s="5"/>
      <c r="B8" s="5"/>
      <c r="C8" s="7"/>
    </row>
    <row r="9" spans="1:5" ht="15" x14ac:dyDescent="0.25">
      <c r="A9" s="5"/>
      <c r="B9" s="5"/>
      <c r="C9" s="7"/>
      <c r="E9" s="13" t="s">
        <v>45</v>
      </c>
    </row>
    <row r="10" spans="1:5" ht="24" customHeight="1" x14ac:dyDescent="0.2">
      <c r="A10" s="5"/>
      <c r="B10" s="5"/>
      <c r="C10" s="7"/>
      <c r="E10" s="15" t="s">
        <v>46</v>
      </c>
    </row>
    <row r="11" spans="1:5" ht="24" customHeight="1" x14ac:dyDescent="0.2">
      <c r="A11" s="5"/>
      <c r="B11" s="5"/>
      <c r="C11" s="7"/>
      <c r="E11" s="16" t="s">
        <v>47</v>
      </c>
    </row>
    <row r="12" spans="1:5" ht="24" customHeight="1" x14ac:dyDescent="0.2">
      <c r="A12" s="5"/>
      <c r="B12" s="5"/>
      <c r="C12" s="7"/>
      <c r="E12" s="15" t="s">
        <v>48</v>
      </c>
    </row>
    <row r="13" spans="1:5" ht="24" customHeight="1" x14ac:dyDescent="0.2">
      <c r="A13" s="5"/>
      <c r="B13" s="5"/>
      <c r="C13" s="7"/>
      <c r="E13" s="68" t="s">
        <v>84</v>
      </c>
    </row>
    <row r="14" spans="1:5" ht="24" customHeight="1" x14ac:dyDescent="0.2">
      <c r="A14" s="5"/>
      <c r="B14" s="5"/>
      <c r="C14" s="7"/>
      <c r="E14" s="15" t="s">
        <v>49</v>
      </c>
    </row>
    <row r="15" spans="1:5" ht="24" customHeight="1" x14ac:dyDescent="0.2">
      <c r="A15" s="5"/>
      <c r="B15" s="5"/>
      <c r="C15" s="7"/>
      <c r="E15" s="16" t="s">
        <v>50</v>
      </c>
    </row>
    <row r="16" spans="1:5" ht="24" customHeight="1" x14ac:dyDescent="0.2">
      <c r="A16" s="5"/>
      <c r="B16" s="5"/>
      <c r="C16" s="7"/>
      <c r="E16" s="15" t="s">
        <v>51</v>
      </c>
    </row>
    <row r="17" spans="1:5" ht="24" customHeight="1" x14ac:dyDescent="0.2">
      <c r="A17" s="5"/>
      <c r="B17" s="5"/>
      <c r="C17" s="7"/>
      <c r="E17" s="16" t="s">
        <v>52</v>
      </c>
    </row>
    <row r="18" spans="1:5" x14ac:dyDescent="0.2">
      <c r="A18" s="5"/>
      <c r="B18" s="5"/>
      <c r="C18" s="7"/>
    </row>
    <row r="19" spans="1:5" ht="15" x14ac:dyDescent="0.25">
      <c r="A19" s="5"/>
      <c r="B19" s="5"/>
      <c r="C19" s="7"/>
      <c r="E19" s="17" t="s">
        <v>53</v>
      </c>
    </row>
    <row r="20" spans="1:5" ht="27.95" customHeight="1" x14ac:dyDescent="0.2">
      <c r="A20" s="5"/>
      <c r="B20" s="5"/>
      <c r="C20" s="7"/>
      <c r="E20" s="18" t="s">
        <v>54</v>
      </c>
    </row>
    <row r="21" spans="1:5" x14ac:dyDescent="0.2">
      <c r="A21" s="5"/>
      <c r="B21" s="5"/>
      <c r="C21" s="7"/>
    </row>
    <row r="22" spans="1:5" ht="15" x14ac:dyDescent="0.25">
      <c r="A22" s="5"/>
      <c r="B22" s="5"/>
      <c r="C22" s="7"/>
      <c r="E22" s="13" t="s">
        <v>55</v>
      </c>
    </row>
    <row r="23" spans="1:5" ht="15" x14ac:dyDescent="0.25">
      <c r="A23" s="5"/>
      <c r="B23" s="5"/>
      <c r="C23" s="7"/>
      <c r="E23" s="19" t="s">
        <v>56</v>
      </c>
    </row>
    <row r="24" spans="1:5" x14ac:dyDescent="0.2">
      <c r="A24" s="5"/>
      <c r="B24" s="5"/>
      <c r="C24" s="7"/>
      <c r="E24" s="2" t="s">
        <v>57</v>
      </c>
    </row>
    <row r="25" spans="1:5" x14ac:dyDescent="0.2">
      <c r="A25" s="5"/>
      <c r="B25" s="5"/>
      <c r="C25" s="7"/>
      <c r="E25" s="2" t="s">
        <v>58</v>
      </c>
    </row>
    <row r="26" spans="1:5" ht="18.75" x14ac:dyDescent="0.3">
      <c r="A26" s="5"/>
      <c r="B26" s="5"/>
      <c r="C26" s="7"/>
      <c r="E26" s="69" t="s">
        <v>85</v>
      </c>
    </row>
    <row r="27" spans="1:5" x14ac:dyDescent="0.2">
      <c r="A27" s="5"/>
      <c r="B27" s="5"/>
      <c r="C27" s="7"/>
    </row>
    <row r="28" spans="1:5" x14ac:dyDescent="0.2">
      <c r="A28" s="5"/>
      <c r="B28" s="5"/>
      <c r="C28" s="7"/>
    </row>
    <row r="29" spans="1:5" x14ac:dyDescent="0.2">
      <c r="A29" s="5"/>
      <c r="B29" s="5"/>
      <c r="C29" s="7"/>
    </row>
    <row r="30" spans="1:5" x14ac:dyDescent="0.2">
      <c r="A30" s="5"/>
      <c r="B30" s="5"/>
      <c r="C30" s="7"/>
    </row>
    <row r="31" spans="1:5" x14ac:dyDescent="0.2">
      <c r="A31" s="5"/>
      <c r="B31" s="5"/>
      <c r="C31" s="7"/>
    </row>
    <row r="32" spans="1:5" x14ac:dyDescent="0.2">
      <c r="A32" s="5"/>
      <c r="B32" s="5"/>
      <c r="C32" s="7"/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/>
      <c r="B35" s="5"/>
      <c r="C35" s="7"/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5"/>
      <c r="B38" s="5"/>
      <c r="C38" s="7"/>
    </row>
    <row r="39" spans="1:3" x14ac:dyDescent="0.2">
      <c r="A39" s="5"/>
      <c r="B39" s="5"/>
      <c r="C39" s="7"/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/>
      <c r="B42" s="5"/>
      <c r="C42" s="7"/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/>
      <c r="B45" s="5"/>
      <c r="C45" s="7"/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5"/>
      <c r="B48" s="5"/>
      <c r="C48" s="7"/>
    </row>
    <row r="49" spans="1:3" x14ac:dyDescent="0.2">
      <c r="A49" s="5"/>
      <c r="B49" s="5"/>
      <c r="C49" s="7"/>
    </row>
  </sheetData>
  <hyperlinks>
    <hyperlink ref="B3" location="Dashboard!E1" tooltip="Go to Dashboard" display="Dashboard!E1" xr:uid="{A9E737A2-279E-4333-AADB-561EF412EBB9}"/>
    <hyperlink ref="B4" location="'Dish Input'!E1" tooltip="Go to Dish Input" display="'Dish Input'!E1" xr:uid="{1B17D9A7-321F-4DEE-845E-8A62CECCB565}"/>
    <hyperlink ref="B5" location="Notes!E1" tooltip="Go to Notes" display="Notes!E1" xr:uid="{A3099693-4D22-47C5-8884-977BCF8901C1}"/>
    <hyperlink ref="E26" r:id="rId1" display="Book a call" xr:uid="{F24C7F0B-3F8E-483F-B163-823FE0FFFEA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Dish Input</vt:lpstr>
      <vt:lpstr>Notes</vt:lpstr>
      <vt:lpstr>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Bonev - Point Numera</dc:creator>
  <cp:lastModifiedBy>Filip Bonev - Point Numera</cp:lastModifiedBy>
  <dcterms:created xsi:type="dcterms:W3CDTF">2026-03-24T23:18:23Z</dcterms:created>
  <dcterms:modified xsi:type="dcterms:W3CDTF">2026-03-25T14:03:24Z</dcterms:modified>
</cp:coreProperties>
</file>